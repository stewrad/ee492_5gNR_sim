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ramir\ee492_5gNR_sim\tests\Liz\"/>
    </mc:Choice>
  </mc:AlternateContent>
  <xr:revisionPtr revIDLastSave="0" documentId="13_ncr:1_{7AEBED30-30BE-479A-A1C2-0FBD0AD1FFD1}" xr6:coauthVersionLast="47" xr6:coauthVersionMax="47" xr10:uidLastSave="{00000000-0000-0000-0000-000000000000}"/>
  <bookViews>
    <workbookView xWindow="33480" yWindow="1785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2" i="1"/>
</calcChain>
</file>

<file path=xl/sharedStrings.xml><?xml version="1.0" encoding="utf-8"?>
<sst xmlns="http://schemas.openxmlformats.org/spreadsheetml/2006/main" count="66" uniqueCount="14">
  <si>
    <t>SNRdB</t>
  </si>
  <si>
    <t>Modulation</t>
  </si>
  <si>
    <t>NHARQProcesses</t>
  </si>
  <si>
    <t>Retransmission Rate (%)</t>
  </si>
  <si>
    <t>Throughput Efficiency (%)</t>
  </si>
  <si>
    <t>HARQ Efficiency (%)</t>
  </si>
  <si>
    <t>Estimated Latency (ms)</t>
  </si>
  <si>
    <t>Average Throughput (Mbps)</t>
  </si>
  <si>
    <t>16QAM</t>
  </si>
  <si>
    <t>64QAM</t>
  </si>
  <si>
    <t>Retransmission Risk</t>
  </si>
  <si>
    <t>Latency Risk</t>
  </si>
  <si>
    <t>Final BLER %</t>
  </si>
  <si>
    <t>Average Transmissions per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</si>
</sst>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zoomScale="70" zoomScaleNormal="70" workbookViewId="0">
      <selection activeCell="Q41" sqref="Q41"/>
    </sheetView>
  </sheetViews>
  <sheetFormatPr defaultRowHeight="14.5" x14ac:dyDescent="0.35"/>
  <cols>
    <col min="1" max="1" width="7.08984375" style="2" customWidth="1"/>
    <col min="2" max="2" width="11.6328125" style="2" customWidth="1"/>
    <col min="3" max="3" width="16.81640625" style="2" customWidth="1"/>
    <col min="4" max="4" width="23.90625" style="2" customWidth="1"/>
    <col min="5" max="5" width="20" style="2" customWidth="1"/>
    <col min="6" max="6" width="12.81640625" style="1" customWidth="1"/>
    <col min="7" max="7" width="24.453125" style="2" customWidth="1"/>
    <col min="8" max="8" width="19.36328125" style="2" customWidth="1"/>
    <col min="9" max="9" width="23.08984375" style="2" customWidth="1"/>
    <col min="10" max="10" width="13.6328125" style="2" customWidth="1"/>
    <col min="11" max="11" width="27.6328125" style="2" customWidth="1"/>
    <col min="12" max="12" width="28.363281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3" t="s">
        <v>12</v>
      </c>
      <c r="G1" s="2" t="s">
        <v>4</v>
      </c>
      <c r="H1" s="2" t="s">
        <v>5</v>
      </c>
      <c r="I1" s="2" t="s">
        <v>6</v>
      </c>
      <c r="J1" s="2" t="s">
        <v>11</v>
      </c>
      <c r="K1" s="2" t="s">
        <v>7</v>
      </c>
      <c r="L1" t="s">
        <v>13</v>
      </c>
    </row>
    <row r="2" spans="1:12" x14ac:dyDescent="0.35">
      <c r="A2" s="2">
        <v>0</v>
      </c>
      <c r="B2" s="2" t="s">
        <v>8</v>
      </c>
      <c r="C2" s="2">
        <v>1</v>
      </c>
      <c r="D2" s="2">
        <v>2.95</v>
      </c>
      <c r="E2" s="1">
        <f>IF(D2&gt;1.5,1,0)</f>
        <v>1</v>
      </c>
      <c r="F2" s="1">
        <v>88.22</v>
      </c>
      <c r="G2" s="2">
        <v>11.78</v>
      </c>
      <c r="H2" s="2">
        <v>2.98</v>
      </c>
      <c r="I2" s="2">
        <v>3.952569</v>
      </c>
      <c r="J2" s="1">
        <f>IF(I2&gt;2.5,1,0)</f>
        <v>1</v>
      </c>
      <c r="K2" s="2">
        <v>0.72</v>
      </c>
      <c r="L2">
        <v>3.95</v>
      </c>
    </row>
    <row r="3" spans="1:12" x14ac:dyDescent="0.35">
      <c r="A3" s="2">
        <v>0</v>
      </c>
      <c r="B3" s="2" t="s">
        <v>8</v>
      </c>
      <c r="C3" s="2">
        <v>4</v>
      </c>
      <c r="D3" s="2">
        <v>2.95</v>
      </c>
      <c r="E3" s="1">
        <f t="shared" ref="E3:E55" si="0">IF(D3&gt;1.5,1,0)</f>
        <v>1</v>
      </c>
      <c r="F3" s="1">
        <v>88.39</v>
      </c>
      <c r="G3" s="2">
        <v>11.61</v>
      </c>
      <c r="H3" s="2">
        <v>2.94</v>
      </c>
      <c r="I3" s="2">
        <v>3.9494470000000002</v>
      </c>
      <c r="J3" s="1">
        <f t="shared" ref="J3:J55" si="1">IF(I3&gt;2.5,1,0)</f>
        <v>1</v>
      </c>
      <c r="K3" s="2">
        <v>0.71</v>
      </c>
      <c r="L3">
        <v>3.95</v>
      </c>
    </row>
    <row r="4" spans="1:12" x14ac:dyDescent="0.35">
      <c r="A4" s="2">
        <v>0</v>
      </c>
      <c r="B4" s="2" t="s">
        <v>8</v>
      </c>
      <c r="C4" s="2">
        <v>8</v>
      </c>
      <c r="D4" s="2">
        <v>2.93</v>
      </c>
      <c r="E4" s="1">
        <f t="shared" si="0"/>
        <v>1</v>
      </c>
      <c r="F4" s="1">
        <v>89.31</v>
      </c>
      <c r="G4" s="2">
        <v>10.69</v>
      </c>
      <c r="H4" s="2">
        <v>2.72</v>
      </c>
      <c r="I4" s="2">
        <v>3.9308179999999999</v>
      </c>
      <c r="J4" s="1">
        <f t="shared" si="1"/>
        <v>1</v>
      </c>
      <c r="K4" s="2">
        <v>0.65</v>
      </c>
      <c r="L4">
        <v>3.93</v>
      </c>
    </row>
    <row r="5" spans="1:12" x14ac:dyDescent="0.35">
      <c r="A5" s="2">
        <v>2</v>
      </c>
      <c r="B5" s="2" t="s">
        <v>8</v>
      </c>
      <c r="C5" s="2">
        <v>1</v>
      </c>
      <c r="D5" s="2">
        <v>2.69</v>
      </c>
      <c r="E5" s="1">
        <f t="shared" si="0"/>
        <v>1</v>
      </c>
      <c r="F5" s="1">
        <v>58.52</v>
      </c>
      <c r="G5" s="2">
        <v>41.48</v>
      </c>
      <c r="H5" s="2">
        <v>11.24</v>
      </c>
      <c r="I5" s="2">
        <v>3.6900369999999998</v>
      </c>
      <c r="J5" s="1">
        <f t="shared" si="1"/>
        <v>1</v>
      </c>
      <c r="K5" s="2">
        <v>2.71</v>
      </c>
      <c r="L5">
        <v>3.69</v>
      </c>
    </row>
    <row r="6" spans="1:12" x14ac:dyDescent="0.35">
      <c r="A6" s="2">
        <v>2</v>
      </c>
      <c r="B6" s="2" t="s">
        <v>8</v>
      </c>
      <c r="C6" s="2">
        <v>4</v>
      </c>
      <c r="D6" s="2">
        <v>2.7</v>
      </c>
      <c r="E6" s="1">
        <f t="shared" si="0"/>
        <v>1</v>
      </c>
      <c r="F6" s="1">
        <v>58.58</v>
      </c>
      <c r="G6" s="2">
        <v>41.42</v>
      </c>
      <c r="H6" s="2">
        <v>11.2</v>
      </c>
      <c r="I6" s="2">
        <v>3.6982249999999999</v>
      </c>
      <c r="J6" s="1">
        <f t="shared" si="1"/>
        <v>1</v>
      </c>
      <c r="K6" s="2">
        <v>2.7</v>
      </c>
      <c r="L6">
        <v>3.7</v>
      </c>
    </row>
    <row r="7" spans="1:12" x14ac:dyDescent="0.35">
      <c r="A7" s="2">
        <v>2</v>
      </c>
      <c r="B7" s="2" t="s">
        <v>8</v>
      </c>
      <c r="C7" s="2">
        <v>8</v>
      </c>
      <c r="D7" s="2">
        <v>2.71</v>
      </c>
      <c r="E7" s="1">
        <f t="shared" si="0"/>
        <v>1</v>
      </c>
      <c r="F7" s="1">
        <v>60.7</v>
      </c>
      <c r="G7" s="2">
        <v>39.299999999999997</v>
      </c>
      <c r="H7" s="2">
        <v>10.58</v>
      </c>
      <c r="I7" s="2">
        <v>3.7147100000000002</v>
      </c>
      <c r="J7" s="1">
        <f t="shared" si="1"/>
        <v>1</v>
      </c>
      <c r="K7" s="2">
        <v>2.5499999999999998</v>
      </c>
      <c r="L7">
        <v>3.71</v>
      </c>
    </row>
    <row r="8" spans="1:12" x14ac:dyDescent="0.35">
      <c r="A8" s="2">
        <v>4</v>
      </c>
      <c r="B8" s="2" t="s">
        <v>8</v>
      </c>
      <c r="C8" s="2">
        <v>1</v>
      </c>
      <c r="D8" s="2">
        <v>2.08</v>
      </c>
      <c r="E8" s="1">
        <f t="shared" si="0"/>
        <v>1</v>
      </c>
      <c r="F8" s="1">
        <v>24.62</v>
      </c>
      <c r="G8" s="2">
        <v>75.38</v>
      </c>
      <c r="H8" s="2">
        <v>24.5</v>
      </c>
      <c r="I8" s="2">
        <v>3.0769229999999999</v>
      </c>
      <c r="J8" s="1">
        <f t="shared" si="1"/>
        <v>1</v>
      </c>
      <c r="K8" s="2">
        <v>5.9</v>
      </c>
      <c r="L8">
        <v>3.08</v>
      </c>
    </row>
    <row r="9" spans="1:12" x14ac:dyDescent="0.35">
      <c r="A9" s="2">
        <v>4</v>
      </c>
      <c r="B9" s="2" t="s">
        <v>8</v>
      </c>
      <c r="C9" s="2">
        <v>4</v>
      </c>
      <c r="D9" s="2">
        <v>2.09</v>
      </c>
      <c r="E9" s="1">
        <f t="shared" si="0"/>
        <v>1</v>
      </c>
      <c r="F9" s="1">
        <v>23.66</v>
      </c>
      <c r="G9" s="2">
        <v>76.34</v>
      </c>
      <c r="H9" s="2">
        <v>24.72</v>
      </c>
      <c r="I9" s="2">
        <v>3.0883259999999999</v>
      </c>
      <c r="J9" s="1">
        <f t="shared" si="1"/>
        <v>1</v>
      </c>
      <c r="K9" s="2">
        <v>5.95</v>
      </c>
      <c r="L9">
        <v>3.09</v>
      </c>
    </row>
    <row r="10" spans="1:12" x14ac:dyDescent="0.35">
      <c r="A10" s="2">
        <v>4</v>
      </c>
      <c r="B10" s="2" t="s">
        <v>8</v>
      </c>
      <c r="C10" s="2">
        <v>8</v>
      </c>
      <c r="D10" s="2">
        <v>2.11</v>
      </c>
      <c r="E10" s="1">
        <f t="shared" si="0"/>
        <v>1</v>
      </c>
      <c r="F10" s="1">
        <v>23.24</v>
      </c>
      <c r="G10" s="2">
        <v>76.760000000000005</v>
      </c>
      <c r="H10" s="2">
        <v>24.7</v>
      </c>
      <c r="I10" s="2">
        <v>3.1075200000000001</v>
      </c>
      <c r="J10" s="1">
        <f t="shared" si="1"/>
        <v>1</v>
      </c>
      <c r="K10" s="2">
        <v>5.95</v>
      </c>
      <c r="L10">
        <v>3.11</v>
      </c>
    </row>
    <row r="11" spans="1:12" x14ac:dyDescent="0.35">
      <c r="A11" s="2">
        <v>6</v>
      </c>
      <c r="B11" s="2" t="s">
        <v>8</v>
      </c>
      <c r="C11" s="2">
        <v>1</v>
      </c>
      <c r="D11" s="2">
        <v>1.51</v>
      </c>
      <c r="E11" s="1">
        <f t="shared" si="0"/>
        <v>1</v>
      </c>
      <c r="F11" s="1">
        <v>5.97</v>
      </c>
      <c r="G11" s="2">
        <v>94.03</v>
      </c>
      <c r="H11" s="2">
        <v>37.46</v>
      </c>
      <c r="I11" s="2">
        <v>2.51004</v>
      </c>
      <c r="J11" s="1">
        <f t="shared" si="1"/>
        <v>1</v>
      </c>
      <c r="K11" s="2">
        <v>9.02</v>
      </c>
      <c r="L11">
        <v>2.5099999999999998</v>
      </c>
    </row>
    <row r="12" spans="1:12" x14ac:dyDescent="0.35">
      <c r="A12" s="2">
        <v>6</v>
      </c>
      <c r="B12" s="2" t="s">
        <v>8</v>
      </c>
      <c r="C12" s="2">
        <v>4</v>
      </c>
      <c r="D12" s="2">
        <v>1.52</v>
      </c>
      <c r="E12" s="1">
        <f t="shared" si="0"/>
        <v>1</v>
      </c>
      <c r="F12" s="1">
        <v>5.99</v>
      </c>
      <c r="G12" s="2">
        <v>94.01</v>
      </c>
      <c r="H12" s="2">
        <v>37.36</v>
      </c>
      <c r="I12" s="2">
        <v>2.516356</v>
      </c>
      <c r="J12" s="1">
        <f t="shared" si="1"/>
        <v>1</v>
      </c>
      <c r="K12" s="2">
        <v>8.99</v>
      </c>
      <c r="L12">
        <v>2.52</v>
      </c>
    </row>
    <row r="13" spans="1:12" x14ac:dyDescent="0.35">
      <c r="A13" s="2">
        <v>6</v>
      </c>
      <c r="B13" s="2" t="s">
        <v>8</v>
      </c>
      <c r="C13" s="2">
        <v>8</v>
      </c>
      <c r="D13" s="2">
        <v>1.52</v>
      </c>
      <c r="E13" s="1">
        <f t="shared" si="0"/>
        <v>1</v>
      </c>
      <c r="F13" s="1">
        <v>4.6900000000000004</v>
      </c>
      <c r="G13" s="2">
        <v>95.31</v>
      </c>
      <c r="H13" s="2">
        <v>37.76</v>
      </c>
      <c r="I13" s="2">
        <v>2.5239780000000001</v>
      </c>
      <c r="J13" s="1">
        <f t="shared" si="1"/>
        <v>1</v>
      </c>
      <c r="K13" s="2">
        <v>9.09</v>
      </c>
      <c r="L13">
        <v>2.52</v>
      </c>
    </row>
    <row r="14" spans="1:12" x14ac:dyDescent="0.35">
      <c r="A14" s="2">
        <v>8</v>
      </c>
      <c r="B14" s="2" t="s">
        <v>8</v>
      </c>
      <c r="C14" s="2">
        <v>1</v>
      </c>
      <c r="D14" s="2">
        <v>1.05</v>
      </c>
      <c r="E14" s="1">
        <f t="shared" si="0"/>
        <v>0</v>
      </c>
      <c r="F14" s="1">
        <v>0.9</v>
      </c>
      <c r="G14" s="2">
        <v>99.1</v>
      </c>
      <c r="H14" s="2">
        <v>48.44</v>
      </c>
      <c r="I14" s="2">
        <v>2.0458270000000001</v>
      </c>
      <c r="J14" s="1">
        <f t="shared" si="1"/>
        <v>0</v>
      </c>
      <c r="K14" s="2">
        <v>11.66</v>
      </c>
      <c r="L14">
        <v>2.0499999999999998</v>
      </c>
    </row>
    <row r="15" spans="1:12" x14ac:dyDescent="0.35">
      <c r="A15" s="2">
        <v>8</v>
      </c>
      <c r="B15" s="2" t="s">
        <v>8</v>
      </c>
      <c r="C15" s="2">
        <v>4</v>
      </c>
      <c r="D15" s="2">
        <v>1.06</v>
      </c>
      <c r="E15" s="1">
        <f t="shared" si="0"/>
        <v>0</v>
      </c>
      <c r="F15" s="1">
        <v>0.7</v>
      </c>
      <c r="G15" s="2">
        <v>99.3</v>
      </c>
      <c r="H15" s="2">
        <v>48.3</v>
      </c>
      <c r="I15" s="2">
        <v>2.0559210000000001</v>
      </c>
      <c r="J15" s="1">
        <f t="shared" si="1"/>
        <v>0</v>
      </c>
      <c r="K15" s="2">
        <v>11.63</v>
      </c>
      <c r="L15">
        <v>2.06</v>
      </c>
    </row>
    <row r="16" spans="1:12" x14ac:dyDescent="0.35">
      <c r="A16" s="2">
        <v>8</v>
      </c>
      <c r="B16" s="2" t="s">
        <v>8</v>
      </c>
      <c r="C16" s="2">
        <v>8</v>
      </c>
      <c r="D16" s="2">
        <v>1.07</v>
      </c>
      <c r="E16" s="1">
        <f t="shared" si="0"/>
        <v>0</v>
      </c>
      <c r="F16" s="1">
        <v>0.25</v>
      </c>
      <c r="G16" s="2">
        <v>99.75</v>
      </c>
      <c r="H16" s="2">
        <v>48.26</v>
      </c>
      <c r="I16" s="2">
        <v>2.06697</v>
      </c>
      <c r="J16" s="1">
        <f t="shared" si="1"/>
        <v>0</v>
      </c>
      <c r="K16" s="2">
        <v>11.62</v>
      </c>
      <c r="L16">
        <v>2.0699999999999998</v>
      </c>
    </row>
    <row r="17" spans="1:12" x14ac:dyDescent="0.35">
      <c r="A17" s="2">
        <v>10</v>
      </c>
      <c r="B17" s="2" t="s">
        <v>8</v>
      </c>
      <c r="C17" s="2">
        <v>1</v>
      </c>
      <c r="D17" s="2">
        <v>0.64</v>
      </c>
      <c r="E17" s="1">
        <f t="shared" si="0"/>
        <v>0</v>
      </c>
      <c r="F17" s="1">
        <v>0.03</v>
      </c>
      <c r="G17" s="2">
        <v>99.97</v>
      </c>
      <c r="H17" s="2">
        <v>61.12</v>
      </c>
      <c r="I17" s="2">
        <v>1.6355900000000001</v>
      </c>
      <c r="J17" s="1">
        <f t="shared" si="1"/>
        <v>0</v>
      </c>
      <c r="K17" s="2">
        <v>14.71</v>
      </c>
      <c r="L17">
        <v>1.64</v>
      </c>
    </row>
    <row r="18" spans="1:12" x14ac:dyDescent="0.35">
      <c r="A18" s="2">
        <v>10</v>
      </c>
      <c r="B18" s="2" t="s">
        <v>8</v>
      </c>
      <c r="C18" s="2">
        <v>4</v>
      </c>
      <c r="D18" s="2">
        <v>0.65</v>
      </c>
      <c r="E18" s="1">
        <f t="shared" si="0"/>
        <v>0</v>
      </c>
      <c r="F18" s="1">
        <v>0.1</v>
      </c>
      <c r="G18" s="2">
        <v>99.9</v>
      </c>
      <c r="H18" s="2">
        <v>60.5</v>
      </c>
      <c r="I18" s="2">
        <v>1.6512549999999999</v>
      </c>
      <c r="J18" s="1">
        <f t="shared" si="1"/>
        <v>0</v>
      </c>
      <c r="K18" s="2">
        <v>14.56</v>
      </c>
      <c r="L18">
        <v>1.65</v>
      </c>
    </row>
    <row r="19" spans="1:12" x14ac:dyDescent="0.35">
      <c r="A19" s="2">
        <v>10</v>
      </c>
      <c r="B19" s="2" t="s">
        <v>8</v>
      </c>
      <c r="C19" s="2">
        <v>8</v>
      </c>
      <c r="D19" s="2">
        <v>0.67</v>
      </c>
      <c r="E19" s="1">
        <f t="shared" si="0"/>
        <v>0</v>
      </c>
      <c r="F19" s="1">
        <v>7.0000000000000007E-2</v>
      </c>
      <c r="G19" s="2">
        <v>99.93</v>
      </c>
      <c r="H19" s="2">
        <v>59.8</v>
      </c>
      <c r="I19" s="2">
        <v>1.6711229999999999</v>
      </c>
      <c r="J19" s="1">
        <f t="shared" si="1"/>
        <v>0</v>
      </c>
      <c r="K19" s="2">
        <v>14.4</v>
      </c>
      <c r="L19">
        <v>1.67</v>
      </c>
    </row>
    <row r="20" spans="1:12" x14ac:dyDescent="0.35">
      <c r="A20" s="2">
        <v>12</v>
      </c>
      <c r="B20" s="2" t="s">
        <v>8</v>
      </c>
      <c r="C20" s="2">
        <v>1</v>
      </c>
      <c r="D20" s="2">
        <v>0.36</v>
      </c>
      <c r="E20" s="1">
        <f t="shared" si="0"/>
        <v>0</v>
      </c>
      <c r="F20" s="1">
        <v>0</v>
      </c>
      <c r="G20" s="2">
        <v>100</v>
      </c>
      <c r="H20" s="2">
        <v>73.680000000000007</v>
      </c>
      <c r="I20" s="2">
        <v>1.3572200000000001</v>
      </c>
      <c r="J20" s="1">
        <f t="shared" si="1"/>
        <v>0</v>
      </c>
      <c r="K20" s="2">
        <v>17.739999999999998</v>
      </c>
      <c r="L20">
        <v>1.36</v>
      </c>
    </row>
    <row r="21" spans="1:12" x14ac:dyDescent="0.35">
      <c r="A21" s="2">
        <v>12</v>
      </c>
      <c r="B21" s="2" t="s">
        <v>8</v>
      </c>
      <c r="C21" s="2">
        <v>4</v>
      </c>
      <c r="D21" s="2">
        <v>0.37</v>
      </c>
      <c r="E21" s="1">
        <f t="shared" si="0"/>
        <v>0</v>
      </c>
      <c r="F21" s="1">
        <v>0</v>
      </c>
      <c r="G21" s="2">
        <v>100</v>
      </c>
      <c r="H21" s="2">
        <v>72.94</v>
      </c>
      <c r="I21" s="2">
        <v>1.3709899999999999</v>
      </c>
      <c r="J21" s="1">
        <f t="shared" si="1"/>
        <v>0</v>
      </c>
      <c r="K21" s="2">
        <v>17.559999999999999</v>
      </c>
      <c r="L21">
        <v>1.37</v>
      </c>
    </row>
    <row r="22" spans="1:12" x14ac:dyDescent="0.35">
      <c r="A22" s="2">
        <v>12</v>
      </c>
      <c r="B22" s="2" t="s">
        <v>8</v>
      </c>
      <c r="C22" s="2">
        <v>8</v>
      </c>
      <c r="D22" s="2">
        <v>0.4</v>
      </c>
      <c r="E22" s="1">
        <f t="shared" si="0"/>
        <v>0</v>
      </c>
      <c r="F22" s="1">
        <v>0</v>
      </c>
      <c r="G22" s="2">
        <v>100</v>
      </c>
      <c r="H22" s="2">
        <v>71.38</v>
      </c>
      <c r="I22" s="2">
        <v>1.4009529999999999</v>
      </c>
      <c r="J22" s="1">
        <f t="shared" si="1"/>
        <v>0</v>
      </c>
      <c r="K22" s="2">
        <v>17.18</v>
      </c>
      <c r="L22">
        <v>1.4</v>
      </c>
    </row>
    <row r="23" spans="1:12" x14ac:dyDescent="0.35">
      <c r="A23" s="2">
        <v>14</v>
      </c>
      <c r="B23" s="2" t="s">
        <v>8</v>
      </c>
      <c r="C23" s="2">
        <v>1</v>
      </c>
      <c r="D23" s="2">
        <v>0.16</v>
      </c>
      <c r="E23" s="1">
        <f t="shared" si="0"/>
        <v>0</v>
      </c>
      <c r="F23" s="1">
        <v>0</v>
      </c>
      <c r="G23" s="2">
        <v>100</v>
      </c>
      <c r="H23" s="2">
        <v>86.46</v>
      </c>
      <c r="I23" s="2">
        <v>1.156604</v>
      </c>
      <c r="J23" s="1">
        <f t="shared" si="1"/>
        <v>0</v>
      </c>
      <c r="K23" s="2">
        <v>20.81</v>
      </c>
      <c r="L23">
        <v>1.1599999999999999</v>
      </c>
    </row>
    <row r="24" spans="1:12" x14ac:dyDescent="0.35">
      <c r="A24" s="2">
        <v>14</v>
      </c>
      <c r="B24" s="2" t="s">
        <v>8</v>
      </c>
      <c r="C24" s="2">
        <v>4</v>
      </c>
      <c r="D24" s="2">
        <v>0.17</v>
      </c>
      <c r="E24" s="1">
        <f t="shared" si="0"/>
        <v>0</v>
      </c>
      <c r="F24" s="1">
        <v>0</v>
      </c>
      <c r="G24" s="2">
        <v>100</v>
      </c>
      <c r="H24" s="2">
        <v>85.7</v>
      </c>
      <c r="I24" s="2">
        <v>1.1668609999999999</v>
      </c>
      <c r="J24" s="1">
        <f t="shared" si="1"/>
        <v>0</v>
      </c>
      <c r="K24" s="2">
        <v>20.63</v>
      </c>
      <c r="L24">
        <v>1.17</v>
      </c>
    </row>
    <row r="25" spans="1:12" x14ac:dyDescent="0.35">
      <c r="A25" s="2">
        <v>14</v>
      </c>
      <c r="B25" s="2" t="s">
        <v>8</v>
      </c>
      <c r="C25" s="2">
        <v>8</v>
      </c>
      <c r="D25" s="2">
        <v>0.18</v>
      </c>
      <c r="E25" s="1">
        <f t="shared" si="0"/>
        <v>0</v>
      </c>
      <c r="F25" s="1">
        <v>0</v>
      </c>
      <c r="G25" s="2">
        <v>100</v>
      </c>
      <c r="H25" s="2">
        <v>84.84</v>
      </c>
      <c r="I25" s="2">
        <v>1.1786890000000001</v>
      </c>
      <c r="J25" s="1">
        <f t="shared" si="1"/>
        <v>0</v>
      </c>
      <c r="K25" s="2">
        <v>20.420000000000002</v>
      </c>
      <c r="L25">
        <v>1.18</v>
      </c>
    </row>
    <row r="26" spans="1:12" x14ac:dyDescent="0.35">
      <c r="A26" s="2">
        <v>16</v>
      </c>
      <c r="B26" s="2" t="s">
        <v>8</v>
      </c>
      <c r="C26" s="2">
        <v>1</v>
      </c>
      <c r="D26" s="2">
        <v>7.0000000000000007E-2</v>
      </c>
      <c r="E26" s="1">
        <f t="shared" si="0"/>
        <v>0</v>
      </c>
      <c r="F26" s="1">
        <v>0</v>
      </c>
      <c r="G26" s="2">
        <v>100</v>
      </c>
      <c r="H26" s="2">
        <v>93.2</v>
      </c>
      <c r="I26" s="2">
        <v>1.0729610000000001</v>
      </c>
      <c r="J26" s="1">
        <f t="shared" si="1"/>
        <v>0</v>
      </c>
      <c r="K26" s="2">
        <v>22.44</v>
      </c>
      <c r="L26">
        <v>1.07</v>
      </c>
    </row>
    <row r="27" spans="1:12" x14ac:dyDescent="0.35">
      <c r="A27" s="2">
        <v>16</v>
      </c>
      <c r="B27" s="2" t="s">
        <v>8</v>
      </c>
      <c r="C27" s="2">
        <v>4</v>
      </c>
      <c r="D27" s="2">
        <v>0.08</v>
      </c>
      <c r="E27" s="1">
        <f t="shared" si="0"/>
        <v>0</v>
      </c>
      <c r="F27" s="1">
        <v>0</v>
      </c>
      <c r="G27" s="2">
        <v>100</v>
      </c>
      <c r="H27" s="2">
        <v>92.78</v>
      </c>
      <c r="I27" s="2">
        <v>1.0778179999999999</v>
      </c>
      <c r="J27" s="1">
        <f t="shared" si="1"/>
        <v>0</v>
      </c>
      <c r="K27" s="2">
        <v>22.33</v>
      </c>
      <c r="L27">
        <v>1.08</v>
      </c>
    </row>
    <row r="28" spans="1:12" x14ac:dyDescent="0.35">
      <c r="A28" s="2">
        <v>16</v>
      </c>
      <c r="B28" s="2" t="s">
        <v>8</v>
      </c>
      <c r="C28" s="2">
        <v>8</v>
      </c>
      <c r="D28" s="2">
        <v>0.09</v>
      </c>
      <c r="E28" s="1">
        <f t="shared" si="0"/>
        <v>0</v>
      </c>
      <c r="F28" s="1">
        <v>0</v>
      </c>
      <c r="G28" s="2">
        <v>100</v>
      </c>
      <c r="H28" s="2">
        <v>92.06</v>
      </c>
      <c r="I28" s="2">
        <v>1.0862480000000001</v>
      </c>
      <c r="J28" s="1">
        <f t="shared" si="1"/>
        <v>0</v>
      </c>
      <c r="K28" s="2">
        <v>22.16</v>
      </c>
      <c r="L28">
        <v>1.0900000000000001</v>
      </c>
    </row>
    <row r="29" spans="1:12" x14ac:dyDescent="0.35">
      <c r="A29" s="2">
        <v>0</v>
      </c>
      <c r="B29" s="2" t="s">
        <v>9</v>
      </c>
      <c r="C29" s="2">
        <v>1</v>
      </c>
      <c r="D29" s="2">
        <v>3</v>
      </c>
      <c r="E29" s="1">
        <f t="shared" si="0"/>
        <v>1</v>
      </c>
      <c r="F29" s="1">
        <v>99.04</v>
      </c>
      <c r="G29" s="2">
        <v>0.96</v>
      </c>
      <c r="H29" s="2">
        <v>0.24</v>
      </c>
      <c r="I29" s="2">
        <v>4</v>
      </c>
      <c r="J29" s="1">
        <f t="shared" si="1"/>
        <v>1</v>
      </c>
      <c r="K29" s="2">
        <v>0.09</v>
      </c>
      <c r="L29">
        <v>4</v>
      </c>
    </row>
    <row r="30" spans="1:12" x14ac:dyDescent="0.35">
      <c r="A30" s="2">
        <v>0</v>
      </c>
      <c r="B30" s="2" t="s">
        <v>9</v>
      </c>
      <c r="C30" s="2">
        <v>4</v>
      </c>
      <c r="D30" s="2">
        <v>2.99</v>
      </c>
      <c r="E30" s="1">
        <f t="shared" si="0"/>
        <v>1</v>
      </c>
      <c r="F30" s="1">
        <v>99.04</v>
      </c>
      <c r="G30" s="2">
        <v>0.96</v>
      </c>
      <c r="H30" s="2">
        <v>0.24</v>
      </c>
      <c r="I30" s="2">
        <v>3.9936099999999999</v>
      </c>
      <c r="J30" s="1">
        <f t="shared" si="1"/>
        <v>1</v>
      </c>
      <c r="K30" s="2">
        <v>0.09</v>
      </c>
      <c r="L30">
        <v>3.99</v>
      </c>
    </row>
    <row r="31" spans="1:12" x14ac:dyDescent="0.35">
      <c r="A31" s="2">
        <v>0</v>
      </c>
      <c r="B31" s="2" t="s">
        <v>9</v>
      </c>
      <c r="C31" s="2">
        <v>8</v>
      </c>
      <c r="D31" s="2">
        <v>2.98</v>
      </c>
      <c r="E31" s="1">
        <f t="shared" si="0"/>
        <v>1</v>
      </c>
      <c r="F31" s="1">
        <v>99.36</v>
      </c>
      <c r="G31" s="2">
        <v>0.64</v>
      </c>
      <c r="H31" s="2">
        <v>0.16</v>
      </c>
      <c r="I31" s="2">
        <v>3.9808919999999999</v>
      </c>
      <c r="J31" s="1">
        <f t="shared" si="1"/>
        <v>1</v>
      </c>
      <c r="K31" s="2">
        <v>0.06</v>
      </c>
      <c r="L31">
        <v>3.98</v>
      </c>
    </row>
    <row r="32" spans="1:12" x14ac:dyDescent="0.35">
      <c r="A32" s="2">
        <v>2</v>
      </c>
      <c r="B32" s="2" t="s">
        <v>9</v>
      </c>
      <c r="C32" s="2">
        <v>1</v>
      </c>
      <c r="D32" s="2">
        <v>2.98</v>
      </c>
      <c r="E32" s="1">
        <f t="shared" si="0"/>
        <v>1</v>
      </c>
      <c r="F32" s="1">
        <v>93.55</v>
      </c>
      <c r="G32" s="2">
        <v>6.45</v>
      </c>
      <c r="H32" s="2">
        <v>1.62</v>
      </c>
      <c r="I32" s="2">
        <v>3.9808919999999999</v>
      </c>
      <c r="J32" s="1">
        <f t="shared" si="1"/>
        <v>1</v>
      </c>
      <c r="K32" s="2">
        <v>0.57999999999999996</v>
      </c>
      <c r="L32">
        <v>3.98</v>
      </c>
    </row>
    <row r="33" spans="1:12" x14ac:dyDescent="0.35">
      <c r="A33" s="2">
        <v>2</v>
      </c>
      <c r="B33" s="2" t="s">
        <v>9</v>
      </c>
      <c r="C33" s="2">
        <v>4</v>
      </c>
      <c r="D33" s="2">
        <v>2.98</v>
      </c>
      <c r="E33" s="1">
        <f t="shared" si="0"/>
        <v>1</v>
      </c>
      <c r="F33" s="1">
        <v>93.55</v>
      </c>
      <c r="G33" s="2">
        <v>6.45</v>
      </c>
      <c r="H33" s="2">
        <v>1.62</v>
      </c>
      <c r="I33" s="2">
        <v>3.9808919999999999</v>
      </c>
      <c r="J33" s="1">
        <f t="shared" si="1"/>
        <v>1</v>
      </c>
      <c r="K33" s="2">
        <v>0.57999999999999996</v>
      </c>
      <c r="L33">
        <v>3.98</v>
      </c>
    </row>
    <row r="34" spans="1:12" x14ac:dyDescent="0.35">
      <c r="A34" s="2">
        <v>2</v>
      </c>
      <c r="B34" s="2" t="s">
        <v>9</v>
      </c>
      <c r="C34" s="2">
        <v>8</v>
      </c>
      <c r="D34" s="2">
        <v>2.98</v>
      </c>
      <c r="E34" s="1">
        <f t="shared" si="0"/>
        <v>1</v>
      </c>
      <c r="F34" s="1">
        <v>94.43</v>
      </c>
      <c r="G34" s="2">
        <v>5.57</v>
      </c>
      <c r="H34" s="2">
        <v>1.4</v>
      </c>
      <c r="I34" s="2">
        <v>3.9808919999999999</v>
      </c>
      <c r="J34" s="1">
        <f t="shared" si="1"/>
        <v>1</v>
      </c>
      <c r="K34" s="2">
        <v>0.5</v>
      </c>
      <c r="L34">
        <v>3.98</v>
      </c>
    </row>
    <row r="35" spans="1:12" x14ac:dyDescent="0.35">
      <c r="A35" s="2">
        <v>4</v>
      </c>
      <c r="B35" s="2" t="s">
        <v>9</v>
      </c>
      <c r="C35" s="2">
        <v>1</v>
      </c>
      <c r="D35" s="2">
        <v>2.84</v>
      </c>
      <c r="E35" s="1">
        <f t="shared" si="0"/>
        <v>1</v>
      </c>
      <c r="F35" s="1">
        <v>67.41</v>
      </c>
      <c r="G35" s="2">
        <v>32.590000000000003</v>
      </c>
      <c r="H35" s="2">
        <v>8.48</v>
      </c>
      <c r="I35" s="2">
        <v>3.8431980000000001</v>
      </c>
      <c r="J35" s="1">
        <f t="shared" si="1"/>
        <v>1</v>
      </c>
      <c r="K35" s="2">
        <v>3.04</v>
      </c>
      <c r="L35">
        <v>3.84</v>
      </c>
    </row>
    <row r="36" spans="1:12" x14ac:dyDescent="0.35">
      <c r="A36" s="2">
        <v>4</v>
      </c>
      <c r="B36" s="2" t="s">
        <v>9</v>
      </c>
      <c r="C36" s="2">
        <v>4</v>
      </c>
      <c r="D36" s="2">
        <v>2.84</v>
      </c>
      <c r="E36" s="1">
        <f t="shared" si="0"/>
        <v>1</v>
      </c>
      <c r="F36" s="1">
        <v>68.150000000000006</v>
      </c>
      <c r="G36" s="2">
        <v>31.85</v>
      </c>
      <c r="H36" s="2">
        <v>8.3000000000000007</v>
      </c>
      <c r="I36" s="2">
        <v>3.8372989999999998</v>
      </c>
      <c r="J36" s="1">
        <f t="shared" si="1"/>
        <v>1</v>
      </c>
      <c r="K36" s="2">
        <v>2.98</v>
      </c>
      <c r="L36">
        <v>3.84</v>
      </c>
    </row>
    <row r="37" spans="1:12" x14ac:dyDescent="0.35">
      <c r="A37" s="2">
        <v>4</v>
      </c>
      <c r="B37" s="2" t="s">
        <v>9</v>
      </c>
      <c r="C37" s="2">
        <v>8</v>
      </c>
      <c r="D37" s="2">
        <v>2.86</v>
      </c>
      <c r="E37" s="1">
        <f t="shared" si="0"/>
        <v>1</v>
      </c>
      <c r="F37" s="1">
        <v>68.8</v>
      </c>
      <c r="G37" s="2">
        <v>31.2</v>
      </c>
      <c r="H37" s="2">
        <v>8.08</v>
      </c>
      <c r="I37" s="2">
        <v>3.8610039999999999</v>
      </c>
      <c r="J37" s="1">
        <f t="shared" si="1"/>
        <v>1</v>
      </c>
      <c r="K37" s="2">
        <v>2.9</v>
      </c>
      <c r="L37">
        <v>3.86</v>
      </c>
    </row>
    <row r="38" spans="1:12" x14ac:dyDescent="0.35">
      <c r="A38" s="2">
        <v>6</v>
      </c>
      <c r="B38" s="2" t="s">
        <v>9</v>
      </c>
      <c r="C38" s="2">
        <v>1</v>
      </c>
      <c r="D38" s="2">
        <v>2.4700000000000002</v>
      </c>
      <c r="E38" s="1">
        <f t="shared" si="0"/>
        <v>1</v>
      </c>
      <c r="F38" s="1">
        <v>35.159999999999997</v>
      </c>
      <c r="G38" s="2">
        <v>64.84</v>
      </c>
      <c r="H38" s="2">
        <v>18.7</v>
      </c>
      <c r="I38" s="2">
        <v>3.467406</v>
      </c>
      <c r="J38" s="1">
        <f t="shared" si="1"/>
        <v>1</v>
      </c>
      <c r="K38" s="2">
        <v>6.71</v>
      </c>
      <c r="L38">
        <v>3.47</v>
      </c>
    </row>
    <row r="39" spans="1:12" x14ac:dyDescent="0.35">
      <c r="A39" s="2">
        <v>6</v>
      </c>
      <c r="B39" s="2" t="s">
        <v>9</v>
      </c>
      <c r="C39" s="2">
        <v>4</v>
      </c>
      <c r="D39" s="2">
        <v>2.4900000000000002</v>
      </c>
      <c r="E39" s="1">
        <f t="shared" si="0"/>
        <v>1</v>
      </c>
      <c r="F39" s="1">
        <v>35.22</v>
      </c>
      <c r="G39" s="2">
        <v>64.78</v>
      </c>
      <c r="H39" s="2">
        <v>18.579999999999998</v>
      </c>
      <c r="I39" s="2">
        <v>3.4867499999999998</v>
      </c>
      <c r="J39" s="1">
        <f t="shared" si="1"/>
        <v>1</v>
      </c>
      <c r="K39" s="2">
        <v>6.66</v>
      </c>
      <c r="L39">
        <v>3.49</v>
      </c>
    </row>
    <row r="40" spans="1:12" x14ac:dyDescent="0.35">
      <c r="A40" s="2">
        <v>6</v>
      </c>
      <c r="B40" s="2" t="s">
        <v>9</v>
      </c>
      <c r="C40" s="2">
        <v>8</v>
      </c>
      <c r="D40" s="2">
        <v>2.5099999999999998</v>
      </c>
      <c r="E40" s="1">
        <f t="shared" si="0"/>
        <v>1</v>
      </c>
      <c r="F40" s="1">
        <v>35.159999999999997</v>
      </c>
      <c r="G40" s="2">
        <v>64.84</v>
      </c>
      <c r="H40" s="2">
        <v>18.48</v>
      </c>
      <c r="I40" s="2">
        <v>3.508772</v>
      </c>
      <c r="J40" s="1">
        <f t="shared" si="1"/>
        <v>1</v>
      </c>
      <c r="K40" s="2">
        <v>6.63</v>
      </c>
      <c r="L40">
        <v>3.51</v>
      </c>
    </row>
    <row r="41" spans="1:12" x14ac:dyDescent="0.35">
      <c r="A41" s="2">
        <v>8</v>
      </c>
      <c r="B41" s="2" t="s">
        <v>9</v>
      </c>
      <c r="C41" s="2">
        <v>1</v>
      </c>
      <c r="D41" s="2">
        <v>1.91</v>
      </c>
      <c r="E41" s="1">
        <f t="shared" si="0"/>
        <v>1</v>
      </c>
      <c r="F41" s="1">
        <v>12.38</v>
      </c>
      <c r="G41" s="2">
        <v>87.62</v>
      </c>
      <c r="H41" s="2">
        <v>30.14</v>
      </c>
      <c r="I41" s="2">
        <v>2.9069769999999999</v>
      </c>
      <c r="J41" s="1">
        <f t="shared" si="1"/>
        <v>1</v>
      </c>
      <c r="K41" s="2">
        <v>10.81</v>
      </c>
      <c r="L41">
        <v>2.91</v>
      </c>
    </row>
    <row r="42" spans="1:12" x14ac:dyDescent="0.35">
      <c r="A42" s="2">
        <v>8</v>
      </c>
      <c r="B42" s="2" t="s">
        <v>9</v>
      </c>
      <c r="C42" s="2">
        <v>4</v>
      </c>
      <c r="D42" s="2">
        <v>1.93</v>
      </c>
      <c r="E42" s="1">
        <f t="shared" si="0"/>
        <v>1</v>
      </c>
      <c r="F42" s="1">
        <v>12.12</v>
      </c>
      <c r="G42" s="2">
        <v>87.88</v>
      </c>
      <c r="H42" s="2">
        <v>30.02</v>
      </c>
      <c r="I42" s="2">
        <v>2.9274</v>
      </c>
      <c r="J42" s="1">
        <f t="shared" si="1"/>
        <v>1</v>
      </c>
      <c r="K42" s="2">
        <v>10.76</v>
      </c>
      <c r="L42">
        <v>2.93</v>
      </c>
    </row>
    <row r="43" spans="1:12" x14ac:dyDescent="0.35">
      <c r="A43" s="2">
        <v>8</v>
      </c>
      <c r="B43" s="2" t="s">
        <v>9</v>
      </c>
      <c r="C43" s="2">
        <v>8</v>
      </c>
      <c r="D43" s="2">
        <v>1.94</v>
      </c>
      <c r="E43" s="1">
        <f t="shared" si="0"/>
        <v>1</v>
      </c>
      <c r="F43" s="1">
        <v>10.33</v>
      </c>
      <c r="G43" s="2">
        <v>89.67</v>
      </c>
      <c r="H43" s="2">
        <v>30.54</v>
      </c>
      <c r="I43" s="2">
        <v>2.9359950000000001</v>
      </c>
      <c r="J43" s="1">
        <f t="shared" si="1"/>
        <v>1</v>
      </c>
      <c r="K43" s="2">
        <v>10.95</v>
      </c>
      <c r="L43">
        <v>2.94</v>
      </c>
    </row>
    <row r="44" spans="1:12" x14ac:dyDescent="0.35">
      <c r="A44" s="2">
        <v>10</v>
      </c>
      <c r="B44" s="2" t="s">
        <v>9</v>
      </c>
      <c r="C44" s="2">
        <v>1</v>
      </c>
      <c r="D44" s="2">
        <v>1.5</v>
      </c>
      <c r="E44" s="1">
        <f t="shared" si="0"/>
        <v>0</v>
      </c>
      <c r="F44" s="1">
        <v>2.75</v>
      </c>
      <c r="G44" s="2">
        <v>97.25</v>
      </c>
      <c r="H44" s="2">
        <v>38.840000000000003</v>
      </c>
      <c r="I44" s="2">
        <v>2.5037560000000001</v>
      </c>
      <c r="J44" s="1">
        <f t="shared" si="1"/>
        <v>1</v>
      </c>
      <c r="K44" s="2">
        <v>13.93</v>
      </c>
      <c r="L44">
        <v>2.5</v>
      </c>
    </row>
    <row r="45" spans="1:12" x14ac:dyDescent="0.35">
      <c r="A45" s="2">
        <v>10</v>
      </c>
      <c r="B45" s="2" t="s">
        <v>9</v>
      </c>
      <c r="C45" s="2">
        <v>4</v>
      </c>
      <c r="D45" s="2">
        <v>1.53</v>
      </c>
      <c r="E45" s="1">
        <f t="shared" si="0"/>
        <v>1</v>
      </c>
      <c r="F45" s="1">
        <v>2.37</v>
      </c>
      <c r="G45" s="2">
        <v>97.63</v>
      </c>
      <c r="H45" s="2">
        <v>38.659999999999997</v>
      </c>
      <c r="I45" s="2">
        <v>2.5252530000000002</v>
      </c>
      <c r="J45" s="1">
        <f t="shared" si="1"/>
        <v>1</v>
      </c>
      <c r="K45" s="2">
        <v>13.86</v>
      </c>
      <c r="L45">
        <v>2.5299999999999998</v>
      </c>
    </row>
    <row r="46" spans="1:12" x14ac:dyDescent="0.35">
      <c r="A46" s="2">
        <v>10</v>
      </c>
      <c r="B46" s="2" t="s">
        <v>9</v>
      </c>
      <c r="C46" s="2">
        <v>8</v>
      </c>
      <c r="D46" s="2">
        <v>1.54</v>
      </c>
      <c r="E46" s="1">
        <f t="shared" si="0"/>
        <v>1</v>
      </c>
      <c r="F46" s="1">
        <v>2.29</v>
      </c>
      <c r="G46" s="2">
        <v>97.71</v>
      </c>
      <c r="H46" s="2">
        <v>38.44</v>
      </c>
      <c r="I46" s="2">
        <v>2.5419420000000001</v>
      </c>
      <c r="J46" s="1">
        <f t="shared" si="1"/>
        <v>1</v>
      </c>
      <c r="K46" s="2">
        <v>13.78</v>
      </c>
      <c r="L46">
        <v>2.54</v>
      </c>
    </row>
    <row r="47" spans="1:12" x14ac:dyDescent="0.35">
      <c r="A47" s="2">
        <v>12</v>
      </c>
      <c r="B47" s="2" t="s">
        <v>9</v>
      </c>
      <c r="C47" s="2">
        <v>1</v>
      </c>
      <c r="D47" s="2">
        <v>1.24</v>
      </c>
      <c r="E47" s="1">
        <f t="shared" si="0"/>
        <v>0</v>
      </c>
      <c r="F47" s="1">
        <v>0.22</v>
      </c>
      <c r="G47" s="2">
        <v>99.78</v>
      </c>
      <c r="H47" s="2">
        <v>44.64</v>
      </c>
      <c r="I47" s="2">
        <v>2.2351359999999998</v>
      </c>
      <c r="J47" s="1">
        <f t="shared" si="1"/>
        <v>0</v>
      </c>
      <c r="K47" s="2">
        <v>16.010000000000002</v>
      </c>
      <c r="L47">
        <v>2.2400000000000002</v>
      </c>
    </row>
    <row r="48" spans="1:12" x14ac:dyDescent="0.35">
      <c r="A48" s="2">
        <v>12</v>
      </c>
      <c r="B48" s="2" t="s">
        <v>9</v>
      </c>
      <c r="C48" s="2">
        <v>4</v>
      </c>
      <c r="D48" s="2">
        <v>1.24</v>
      </c>
      <c r="E48" s="1">
        <f t="shared" si="0"/>
        <v>0</v>
      </c>
      <c r="F48" s="1">
        <v>0.27</v>
      </c>
      <c r="G48" s="2">
        <v>99.73</v>
      </c>
      <c r="H48" s="2">
        <v>44.54</v>
      </c>
      <c r="I48" s="2">
        <v>2.2391399999999999</v>
      </c>
      <c r="J48" s="1">
        <f t="shared" si="1"/>
        <v>0</v>
      </c>
      <c r="K48" s="2">
        <v>15.97</v>
      </c>
      <c r="L48">
        <v>2.2400000000000002</v>
      </c>
    </row>
    <row r="49" spans="1:12" x14ac:dyDescent="0.35">
      <c r="A49" s="2">
        <v>12</v>
      </c>
      <c r="B49" s="2" t="s">
        <v>9</v>
      </c>
      <c r="C49" s="2">
        <v>8</v>
      </c>
      <c r="D49" s="2">
        <v>1.25</v>
      </c>
      <c r="E49" s="1">
        <f t="shared" si="0"/>
        <v>0</v>
      </c>
      <c r="F49" s="1">
        <v>0.09</v>
      </c>
      <c r="G49" s="2">
        <v>99.91</v>
      </c>
      <c r="H49" s="2">
        <v>44.5</v>
      </c>
      <c r="I49" s="2">
        <v>2.2451729999999999</v>
      </c>
      <c r="J49" s="1">
        <f t="shared" si="1"/>
        <v>0</v>
      </c>
      <c r="K49" s="2">
        <v>15.96</v>
      </c>
      <c r="L49">
        <v>2.25</v>
      </c>
    </row>
    <row r="50" spans="1:12" x14ac:dyDescent="0.35">
      <c r="A50" s="2">
        <v>14</v>
      </c>
      <c r="B50" s="2" t="s">
        <v>9</v>
      </c>
      <c r="C50" s="2">
        <v>1</v>
      </c>
      <c r="D50" s="2">
        <v>1.01</v>
      </c>
      <c r="E50" s="1">
        <f t="shared" si="0"/>
        <v>0</v>
      </c>
      <c r="F50" s="1">
        <v>0</v>
      </c>
      <c r="G50" s="2">
        <v>100</v>
      </c>
      <c r="H50" s="2">
        <v>49.68</v>
      </c>
      <c r="I50" s="2">
        <v>2.0128819999999998</v>
      </c>
      <c r="J50" s="1">
        <f t="shared" si="1"/>
        <v>0</v>
      </c>
      <c r="K50" s="2">
        <v>17.809999999999999</v>
      </c>
      <c r="L50">
        <v>2.0099999999999998</v>
      </c>
    </row>
    <row r="51" spans="1:12" x14ac:dyDescent="0.35">
      <c r="A51" s="2">
        <v>14</v>
      </c>
      <c r="B51" s="2" t="s">
        <v>9</v>
      </c>
      <c r="C51" s="2">
        <v>4</v>
      </c>
      <c r="D51" s="2">
        <v>1.02</v>
      </c>
      <c r="E51" s="1">
        <f t="shared" si="0"/>
        <v>0</v>
      </c>
      <c r="F51" s="1">
        <v>0.04</v>
      </c>
      <c r="G51" s="2">
        <v>99.96</v>
      </c>
      <c r="H51" s="2">
        <v>49.6</v>
      </c>
      <c r="I51" s="2">
        <v>2.0153159999999999</v>
      </c>
      <c r="J51" s="1">
        <f t="shared" si="1"/>
        <v>0</v>
      </c>
      <c r="K51" s="2">
        <v>17.78</v>
      </c>
      <c r="L51">
        <v>2.02</v>
      </c>
    </row>
    <row r="52" spans="1:12" x14ac:dyDescent="0.35">
      <c r="A52" s="2">
        <v>14</v>
      </c>
      <c r="B52" s="2" t="s">
        <v>9</v>
      </c>
      <c r="C52" s="2">
        <v>8</v>
      </c>
      <c r="D52" s="2">
        <v>1.01</v>
      </c>
      <c r="E52" s="1">
        <f t="shared" si="0"/>
        <v>0</v>
      </c>
      <c r="F52" s="1">
        <v>0.16</v>
      </c>
      <c r="G52" s="2">
        <v>99.84</v>
      </c>
      <c r="H52" s="2">
        <v>49.62</v>
      </c>
      <c r="I52" s="2">
        <v>2.0120719999999999</v>
      </c>
      <c r="J52" s="1">
        <f t="shared" si="1"/>
        <v>0</v>
      </c>
      <c r="K52" s="2">
        <v>17.79</v>
      </c>
      <c r="L52">
        <v>2.0099999999999998</v>
      </c>
    </row>
    <row r="53" spans="1:12" x14ac:dyDescent="0.35">
      <c r="A53" s="2">
        <v>16</v>
      </c>
      <c r="B53" s="2" t="s">
        <v>9</v>
      </c>
      <c r="C53" s="2">
        <v>1</v>
      </c>
      <c r="D53" s="2">
        <v>0.76</v>
      </c>
      <c r="E53" s="1">
        <f t="shared" si="0"/>
        <v>0</v>
      </c>
      <c r="F53" s="1">
        <v>0</v>
      </c>
      <c r="G53" s="2">
        <v>100</v>
      </c>
      <c r="H53" s="2">
        <v>56.82</v>
      </c>
      <c r="I53" s="2">
        <v>1.759944</v>
      </c>
      <c r="J53" s="1">
        <f t="shared" si="1"/>
        <v>0</v>
      </c>
      <c r="K53" s="2">
        <v>20.37</v>
      </c>
      <c r="L53">
        <v>1.76</v>
      </c>
    </row>
    <row r="54" spans="1:12" x14ac:dyDescent="0.35">
      <c r="A54" s="2">
        <v>16</v>
      </c>
      <c r="B54" s="2" t="s">
        <v>9</v>
      </c>
      <c r="C54" s="2">
        <v>4</v>
      </c>
      <c r="D54" s="2">
        <v>0.77</v>
      </c>
      <c r="E54" s="1">
        <f t="shared" si="0"/>
        <v>0</v>
      </c>
      <c r="F54" s="1">
        <v>0</v>
      </c>
      <c r="G54" s="2">
        <v>100</v>
      </c>
      <c r="H54" s="2">
        <v>56.6</v>
      </c>
      <c r="I54" s="2">
        <v>1.7667839999999999</v>
      </c>
      <c r="J54" s="1">
        <f t="shared" si="1"/>
        <v>0</v>
      </c>
      <c r="K54" s="2">
        <v>20.29</v>
      </c>
      <c r="L54">
        <v>1.77</v>
      </c>
    </row>
    <row r="55" spans="1:12" x14ac:dyDescent="0.35">
      <c r="A55" s="2">
        <v>16</v>
      </c>
      <c r="B55" s="2" t="s">
        <v>9</v>
      </c>
      <c r="C55" s="2">
        <v>8</v>
      </c>
      <c r="D55" s="2">
        <v>0.77</v>
      </c>
      <c r="E55" s="1">
        <f t="shared" si="0"/>
        <v>0</v>
      </c>
      <c r="F55" s="1">
        <v>0</v>
      </c>
      <c r="G55" s="2">
        <v>100</v>
      </c>
      <c r="H55" s="2">
        <v>56.38</v>
      </c>
      <c r="I55" s="2">
        <v>1.773679</v>
      </c>
      <c r="J55" s="1">
        <f t="shared" si="1"/>
        <v>0</v>
      </c>
      <c r="K55" s="2">
        <v>20.22</v>
      </c>
      <c r="L55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Ramirez</cp:lastModifiedBy>
  <dcterms:created xsi:type="dcterms:W3CDTF">2026-04-21T17:30:41Z</dcterms:created>
  <dcterms:modified xsi:type="dcterms:W3CDTF">2026-04-21T19:41:01Z</dcterms:modified>
</cp:coreProperties>
</file>