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ramir\ee492_5gNR_sim\tests\Liz\"/>
    </mc:Choice>
  </mc:AlternateContent>
  <xr:revisionPtr revIDLastSave="0" documentId="13_ncr:1_{E3646688-A9C6-48EC-9973-F4A876E8DD7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2" i="1"/>
</calcChain>
</file>

<file path=xl/sharedStrings.xml><?xml version="1.0" encoding="utf-8"?>
<sst xmlns="http://schemas.openxmlformats.org/spreadsheetml/2006/main" count="877" uniqueCount="186">
  <si>
    <t>Source File</t>
  </si>
  <si>
    <t>Timestamp</t>
  </si>
  <si>
    <t>SNRdB</t>
  </si>
  <si>
    <t>Modulation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</si>
  <si>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</si>
  <si>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</si>
  <si>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</si>
  <si>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</si>
  <si>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</si>
  <si>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</si>
  <si>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</si>
  <si>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</si>
  <si>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Total Transmissions</t>
  </si>
  <si>
    <t>Initial Transmissions</t>
  </si>
  <si>
    <t>Retransmissions</t>
  </si>
  <si>
    <t>Average Transmissions per TB</t>
  </si>
  <si>
    <t>Retransmission Rate (%)</t>
  </si>
  <si>
    <t>Successful Blocks</t>
  </si>
  <si>
    <t>Failed Blocks (after max retx)</t>
  </si>
  <si>
    <t>Block Error Rate (BLER %)</t>
  </si>
  <si>
    <t>Total Bits Transmitted</t>
  </si>
  <si>
    <t>Total Bits Received</t>
  </si>
  <si>
    <t>Throughput Efficiency (%)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</si>
  <si>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</si>
  <si>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</si>
  <si>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</si>
  <si>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</si>
  <si>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</si>
  <si>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</si>
  <si>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</si>
  <si>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</si>
  <si>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</si>
  <si>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</si>
  <si>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</si>
  <si>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</si>
  <si>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</si>
  <si>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</si>
  <si>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1024QAM_SNR0.0_TDL-C_20260324_195337.txt</t>
  </si>
  <si>
    <t>24-Mar-2026 19:53:37</t>
  </si>
  <si>
    <t>1024QAM</t>
  </si>
  <si>
    <t>Chase Combining</t>
  </si>
  <si>
    <t>[0 2 3 1]</t>
  </si>
  <si>
    <t>TDL-C</t>
  </si>
  <si>
    <t>1024QAM_SNR10.0_TDL-C_20260324_200111.txt</t>
  </si>
  <si>
    <t>24-Mar-2026 20:01:11</t>
  </si>
  <si>
    <t>1024QAM_SNR12.0_TDL-C_20260324_200215.txt</t>
  </si>
  <si>
    <t>24-Mar-2026 20:02:15</t>
  </si>
  <si>
    <t>1024QAM_SNR2.0_TDL-C_20260324_195559.txt</t>
  </si>
  <si>
    <t>24-Mar-2026 19:55:59</t>
  </si>
  <si>
    <t>1024QAM_SNR4.0_TDL-C_20260324_195721.txt</t>
  </si>
  <si>
    <t>24-Mar-2026 19:57:22</t>
  </si>
  <si>
    <t>1024QAM_SNR6.0_TDL-C_20260324_195844.txt</t>
  </si>
  <si>
    <t>24-Mar-2026 19:58:44</t>
  </si>
  <si>
    <t>1024QAM_SNR8.0_TDL-C_20260324_195952.txt</t>
  </si>
  <si>
    <t>24-Mar-2026 19:59:52</t>
  </si>
  <si>
    <t>16QAM_SNR0.0_TDL-C_20260324_193212.txt</t>
  </si>
  <si>
    <t>24-Mar-2026 19:32:12</t>
  </si>
  <si>
    <t>16QAM</t>
  </si>
  <si>
    <t>16QAM_SNR10.0_TDL-C_20260324_193647.txt</t>
  </si>
  <si>
    <t>24-Mar-2026 19:36:47</t>
  </si>
  <si>
    <t>16QAM_SNR12.0_TDL-C_20260324_193738.txt</t>
  </si>
  <si>
    <t>24-Mar-2026 19:37:38</t>
  </si>
  <si>
    <t>16QAM_SNR2.0_TDL-C_20260324_193308.txt</t>
  </si>
  <si>
    <t>24-Mar-2026 19:33:08</t>
  </si>
  <si>
    <t>16QAM_SNR4.0_TDL-C_20260324_193359.txt</t>
  </si>
  <si>
    <t>24-Mar-2026 19:33:59</t>
  </si>
  <si>
    <t>16QAM_SNR6.0_TDL-C_20260324_193503.txt</t>
  </si>
  <si>
    <t>24-Mar-2026 19:35:03</t>
  </si>
  <si>
    <t>16QAM_SNR8.0_TDL-C_20260324_193555.txt</t>
  </si>
  <si>
    <t>24-Mar-2026 19:35:55</t>
  </si>
  <si>
    <t>256QAM_SNR0.0_TDL-C_20260324_194654.txt</t>
  </si>
  <si>
    <t>24-Mar-2026 19:46:54</t>
  </si>
  <si>
    <t>256QAM</t>
  </si>
  <si>
    <t>256QAM_SNR0.0_TDL-C_20260324_200400.txt</t>
  </si>
  <si>
    <t>24-Mar-2026 20:04:01</t>
  </si>
  <si>
    <t>256QAM_SNR0.0_TDL-C_20260324_201045.txt</t>
  </si>
  <si>
    <t>24-Mar-2026 20:10:45</t>
  </si>
  <si>
    <t>256QAM_SNR0.0_TDL-C_20260324_201737.txt</t>
  </si>
  <si>
    <t>24-Mar-2026 20:17:37</t>
  </si>
  <si>
    <t>256QAM_SNR0.0_TDL-C_20260324_202912.txt</t>
  </si>
  <si>
    <t>24-Mar-2026 20:29:12</t>
  </si>
  <si>
    <t>256QAM_SNR0.0_TDL-C_20260324_205100.txt</t>
  </si>
  <si>
    <t>24-Mar-2026 20:51:00</t>
  </si>
  <si>
    <t>Disabled</t>
  </si>
  <si>
    <t>256QAM_SNR10.0_TDL-C_20260324_195143.txt</t>
  </si>
  <si>
    <t>24-Mar-2026 19:51:43</t>
  </si>
  <si>
    <t>256QAM_SNR10.0_TDL-C_20260324_200851.txt</t>
  </si>
  <si>
    <t>24-Mar-2026 20:08:51</t>
  </si>
  <si>
    <t>256QAM_SNR10.0_TDL-C_20260324_201545.txt</t>
  </si>
  <si>
    <t>24-Mar-2026 20:15:45</t>
  </si>
  <si>
    <t>256QAM_SNR10.0_TDL-C_20260324_202714.txt</t>
  </si>
  <si>
    <t>24-Mar-2026 20:27:14</t>
  </si>
  <si>
    <t>256QAM_SNR10.0_TDL-C_20260324_203416.txt</t>
  </si>
  <si>
    <t>24-Mar-2026 20:34:16</t>
  </si>
  <si>
    <t>256QAM_SNR10.0_TDL-C_20260324_205640.txt</t>
  </si>
  <si>
    <t>24-Mar-2026 20:56:40</t>
  </si>
  <si>
    <t>256QAM_SNR12.0_TDL-C_20260324_195240.txt</t>
  </si>
  <si>
    <t>24-Mar-2026 19:52:40</t>
  </si>
  <si>
    <t>256QAM_SNR12.0_TDL-C_20260324_200949.txt</t>
  </si>
  <si>
    <t>24-Mar-2026 20:09:50</t>
  </si>
  <si>
    <t>256QAM_SNR12.0_TDL-C_20260324_201641.txt</t>
  </si>
  <si>
    <t>24-Mar-2026 20:16:41</t>
  </si>
  <si>
    <t>256QAM_SNR12.0_TDL-C_20260324_202816.txt</t>
  </si>
  <si>
    <t>24-Mar-2026 20:28:16</t>
  </si>
  <si>
    <t>256QAM_SNR12.0_TDL-C_20260324_204003.txt</t>
  </si>
  <si>
    <t>24-Mar-2026 20:40:03</t>
  </si>
  <si>
    <t>256QAM_SNR12.0_TDL-C_20260324_205849.txt</t>
  </si>
  <si>
    <t>24-Mar-2026 20:58:49</t>
  </si>
  <si>
    <t>256QAM_SNR2.0_TDL-C_20260324_194750.txt</t>
  </si>
  <si>
    <t>24-Mar-2026 19:47:50</t>
  </si>
  <si>
    <t>256QAM_SNR2.0_TDL-C_20260324_200502.txt</t>
  </si>
  <si>
    <t>24-Mar-2026 20:05:02</t>
  </si>
  <si>
    <t>256QAM_SNR2.0_TDL-C_20260324_201147.txt</t>
  </si>
  <si>
    <t>24-Mar-2026 20:11:47</t>
  </si>
  <si>
    <t>256QAM_SNR2.0_TDL-C_20260324_201836.txt</t>
  </si>
  <si>
    <t>24-Mar-2026 20:18:36</t>
  </si>
  <si>
    <t>256QAM_SNR2.0_TDL-C_20260324_203011.txt</t>
  </si>
  <si>
    <t>24-Mar-2026 20:30:11</t>
  </si>
  <si>
    <t>256QAM_SNR2.0_TDL-C_20260324_205204.txt</t>
  </si>
  <si>
    <t>24-Mar-2026 20:52:04</t>
  </si>
  <si>
    <t>256QAM_SNR4.0_TDL-C_20260324_194847.txt</t>
  </si>
  <si>
    <t>24-Mar-2026 19:48:48</t>
  </si>
  <si>
    <t>256QAM_SNR4.0_TDL-C_20260324_200559.txt</t>
  </si>
  <si>
    <t>24-Mar-2026 20:05:59</t>
  </si>
  <si>
    <t>256QAM_SNR4.0_TDL-C_20260324_201248.txt</t>
  </si>
  <si>
    <t>24-Mar-2026 20:12:48</t>
  </si>
  <si>
    <t>256QAM_SNR4.0_TDL-C_20260324_202039.txt</t>
  </si>
  <si>
    <t>24-Mar-2026 20:20:39</t>
  </si>
  <si>
    <t>256QAM_SNR4.0_TDL-C_20260324_203109.txt</t>
  </si>
  <si>
    <t>24-Mar-2026 20:31:09</t>
  </si>
  <si>
    <t>256QAM_SNR4.0_TDL-C_20260324_205340.txt</t>
  </si>
  <si>
    <t>24-Mar-2026 20:53:40</t>
  </si>
  <si>
    <t>256QAM_SNR6.0_TDL-C_20260324_194946.txt</t>
  </si>
  <si>
    <t>24-Mar-2026 19:49:46</t>
  </si>
  <si>
    <t>256QAM_SNR6.0_TDL-C_20260324_200655.txt</t>
  </si>
  <si>
    <t>24-Mar-2026 20:06:55</t>
  </si>
  <si>
    <t>256QAM_SNR6.0_TDL-C_20260324_201346.txt</t>
  </si>
  <si>
    <t>24-Mar-2026 20:13:46</t>
  </si>
  <si>
    <t>256QAM_SNR6.0_TDL-C_20260324_202428.txt</t>
  </si>
  <si>
    <t>24-Mar-2026 20:24:28</t>
  </si>
  <si>
    <t>256QAM_SNR6.0_TDL-C_20260324_203209.txt</t>
  </si>
  <si>
    <t>24-Mar-2026 20:32:09</t>
  </si>
  <si>
    <t>256QAM_SNR6.0_TDL-C_20260324_205445.txt</t>
  </si>
  <si>
    <t>24-Mar-2026 20:54:45</t>
  </si>
  <si>
    <t>256QAM_SNR8.0_TDL-C_20260324_195045.txt</t>
  </si>
  <si>
    <t>24-Mar-2026 19:50:45</t>
  </si>
  <si>
    <t>256QAM_SNR8.0_TDL-C_20260324_200752.txt</t>
  </si>
  <si>
    <t>24-Mar-2026 20:07:52</t>
  </si>
  <si>
    <t>256QAM_SNR8.0_TDL-C_20260324_201440.txt</t>
  </si>
  <si>
    <t>24-Mar-2026 20:14:41</t>
  </si>
  <si>
    <t>256QAM_SNR8.0_TDL-C_20260324_202612.txt</t>
  </si>
  <si>
    <t>24-Mar-2026 20:26:12</t>
  </si>
  <si>
    <t>256QAM_SNR8.0_TDL-C_20260324_203309.txt</t>
  </si>
  <si>
    <t>24-Mar-2026 20:33:09</t>
  </si>
  <si>
    <t>256QAM_SNR8.0_TDL-C_20260324_205543.txt</t>
  </si>
  <si>
    <t>24-Mar-2026 20:55:43</t>
  </si>
  <si>
    <t>64QAM_SNR0.0_TDL-C_20260324_193828.txt</t>
  </si>
  <si>
    <t>24-Mar-2026 19:38:28</t>
  </si>
  <si>
    <t>64QAM</t>
  </si>
  <si>
    <t>64QAM_SNR10.0_TDL-C_20260324_194444.txt</t>
  </si>
  <si>
    <t>24-Mar-2026 19:44:44</t>
  </si>
  <si>
    <t>64QAM_SNR12.0_TDL-C_20260324_194553.txt</t>
  </si>
  <si>
    <t>24-Mar-2026 19:45:53</t>
  </si>
  <si>
    <t>64QAM_SNR2.0_TDL-C_20260324_193923.txt</t>
  </si>
  <si>
    <t>24-Mar-2026 19:39:23</t>
  </si>
  <si>
    <t>64QAM_SNR4.0_TDL-C_20260324_194158.txt</t>
  </si>
  <si>
    <t>24-Mar-2026 19:41:58</t>
  </si>
  <si>
    <t>64QAM_SNR6.0_TDL-C_20260324_194250.txt</t>
  </si>
  <si>
    <t>24-Mar-2026 19:42:50</t>
  </si>
  <si>
    <t>64QAM_SNR8.0_TDL-C_20260324_194344.txt</t>
  </si>
  <si>
    <t>24-Mar-2026 19:43:44</t>
  </si>
  <si>
    <t>QPSK_SNR0.0_TDL-C_20260324_192454.txt</t>
  </si>
  <si>
    <t>24-Mar-2026 19:24:56</t>
  </si>
  <si>
    <t>QPSK</t>
  </si>
  <si>
    <t>QPSK_SNR10.0_TDL-C_20260324_193030.txt</t>
  </si>
  <si>
    <t>24-Mar-2026 19:30:30</t>
  </si>
  <si>
    <t>QPSK_SNR12.0_TDL-C_20260324_193121.txt</t>
  </si>
  <si>
    <t>24-Mar-2026 19:31:21</t>
  </si>
  <si>
    <t>QPSK_SNR2.0_TDL-C_20260324_192638.txt</t>
  </si>
  <si>
    <t>24-Mar-2026 19:26:39</t>
  </si>
  <si>
    <t>QPSK_SNR4.0_TDL-C_20260324_192750.txt</t>
  </si>
  <si>
    <t>24-Mar-2026 19:27:50</t>
  </si>
  <si>
    <t>QPSK_SNR6.0_TDL-C_20260324_192842.txt</t>
  </si>
  <si>
    <t>24-Mar-2026 19:28:42</t>
  </si>
  <si>
    <t>QPSK_SNR8.0_TDL-C_20260324_192935.txt</t>
  </si>
  <si>
    <t>24-Mar-2026 19:29:35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</si>
</sst>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1"/>
  <sheetViews>
    <sheetView tabSelected="1" workbookViewId="0">
      <selection activeCell="O17" sqref="O17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>
        <v>0</v>
      </c>
      <c r="D2" t="s">
        <v>39</v>
      </c>
      <c r="E2" t="s">
        <v>40</v>
      </c>
      <c r="F2">
        <v>1</v>
      </c>
      <c r="G2" t="s">
        <v>41</v>
      </c>
      <c r="H2">
        <v>8</v>
      </c>
      <c r="I2">
        <v>8</v>
      </c>
      <c r="J2" t="s">
        <v>42</v>
      </c>
      <c r="K2">
        <v>2</v>
      </c>
      <c r="L2">
        <v>0.47849999999999998</v>
      </c>
      <c r="M2">
        <v>50</v>
      </c>
      <c r="N2">
        <v>12</v>
      </c>
      <c r="O2">
        <v>38</v>
      </c>
      <c r="P2">
        <v>4.17</v>
      </c>
      <c r="Q2">
        <f>O2/M2</f>
        <v>0.76</v>
      </c>
      <c r="R2">
        <v>0</v>
      </c>
      <c r="S2">
        <v>12</v>
      </c>
      <c r="T2">
        <v>1</v>
      </c>
      <c r="U2">
        <v>713184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30</v>
      </c>
      <c r="AC2">
        <v>21.87</v>
      </c>
      <c r="AD2">
        <v>0.72</v>
      </c>
      <c r="AE2">
        <v>-7.84</v>
      </c>
      <c r="AF2">
        <v>0.62</v>
      </c>
      <c r="AG2">
        <v>4.03</v>
      </c>
      <c r="AH2">
        <v>6666.69</v>
      </c>
      <c r="AI2">
        <v>35.81</v>
      </c>
      <c r="AJ2">
        <v>25.21</v>
      </c>
      <c r="AK2">
        <v>24.43</v>
      </c>
    </row>
    <row r="3" spans="1:37" x14ac:dyDescent="0.35">
      <c r="A3" t="s">
        <v>43</v>
      </c>
      <c r="B3" t="s">
        <v>44</v>
      </c>
      <c r="C3">
        <v>10</v>
      </c>
      <c r="D3" t="s">
        <v>39</v>
      </c>
      <c r="E3" t="s">
        <v>40</v>
      </c>
      <c r="F3">
        <v>1</v>
      </c>
      <c r="G3" t="s">
        <v>41</v>
      </c>
      <c r="H3">
        <v>8</v>
      </c>
      <c r="I3">
        <v>8</v>
      </c>
      <c r="J3" t="s">
        <v>42</v>
      </c>
      <c r="K3">
        <v>2</v>
      </c>
      <c r="L3">
        <v>0.47849999999999998</v>
      </c>
      <c r="M3">
        <v>50</v>
      </c>
      <c r="N3">
        <v>24</v>
      </c>
      <c r="O3">
        <v>26</v>
      </c>
      <c r="P3">
        <v>2.08</v>
      </c>
      <c r="Q3">
        <f t="shared" ref="Q3:Q66" si="0">O3/M3</f>
        <v>0.52</v>
      </c>
      <c r="R3">
        <v>24</v>
      </c>
      <c r="S3">
        <v>0</v>
      </c>
      <c r="T3">
        <v>0</v>
      </c>
      <c r="U3">
        <v>1426368</v>
      </c>
      <c r="V3">
        <v>1426368</v>
      </c>
      <c r="W3">
        <v>100</v>
      </c>
      <c r="X3">
        <v>0.2286</v>
      </c>
      <c r="Y3">
        <v>0.03</v>
      </c>
      <c r="Z3">
        <v>28527</v>
      </c>
      <c r="AA3">
        <v>3.0000000000000001E-3</v>
      </c>
      <c r="AB3">
        <v>30</v>
      </c>
      <c r="AC3">
        <v>21.87</v>
      </c>
      <c r="AD3">
        <v>0.72</v>
      </c>
      <c r="AE3">
        <v>-8.99</v>
      </c>
      <c r="AF3">
        <v>0.8</v>
      </c>
      <c r="AG3">
        <v>12.9</v>
      </c>
      <c r="AH3">
        <v>6666.69</v>
      </c>
      <c r="AI3">
        <v>35.81</v>
      </c>
      <c r="AJ3">
        <v>28.44</v>
      </c>
      <c r="AK3">
        <v>27.66</v>
      </c>
    </row>
    <row r="4" spans="1:37" x14ac:dyDescent="0.35">
      <c r="A4" t="s">
        <v>45</v>
      </c>
      <c r="B4" t="s">
        <v>46</v>
      </c>
      <c r="C4">
        <v>12</v>
      </c>
      <c r="D4" t="s">
        <v>39</v>
      </c>
      <c r="E4" t="s">
        <v>40</v>
      </c>
      <c r="F4">
        <v>1</v>
      </c>
      <c r="G4" t="s">
        <v>41</v>
      </c>
      <c r="H4">
        <v>8</v>
      </c>
      <c r="I4">
        <v>8</v>
      </c>
      <c r="J4" t="s">
        <v>42</v>
      </c>
      <c r="K4">
        <v>2</v>
      </c>
      <c r="L4">
        <v>0.47849999999999998</v>
      </c>
      <c r="M4">
        <v>50</v>
      </c>
      <c r="N4">
        <v>25</v>
      </c>
      <c r="O4">
        <v>25</v>
      </c>
      <c r="P4">
        <v>2</v>
      </c>
      <c r="Q4">
        <f t="shared" si="0"/>
        <v>0.5</v>
      </c>
      <c r="R4">
        <v>25</v>
      </c>
      <c r="S4">
        <v>0</v>
      </c>
      <c r="T4">
        <v>0</v>
      </c>
      <c r="U4">
        <v>1485800</v>
      </c>
      <c r="V4">
        <v>1485800</v>
      </c>
      <c r="W4">
        <v>100</v>
      </c>
      <c r="X4">
        <v>0.23810000000000001</v>
      </c>
      <c r="Y4">
        <v>0.03</v>
      </c>
      <c r="Z4">
        <v>29716</v>
      </c>
      <c r="AA4">
        <v>3.2000000000000002E-3</v>
      </c>
      <c r="AB4">
        <v>30</v>
      </c>
      <c r="AC4">
        <v>21.87</v>
      </c>
      <c r="AD4">
        <v>0.72</v>
      </c>
      <c r="AE4">
        <v>-8.9700000000000006</v>
      </c>
      <c r="AF4">
        <v>0.85</v>
      </c>
      <c r="AG4">
        <v>11.3</v>
      </c>
      <c r="AH4">
        <v>6666.69</v>
      </c>
      <c r="AI4">
        <v>35.81</v>
      </c>
      <c r="AJ4">
        <v>28.67</v>
      </c>
      <c r="AK4">
        <v>27.98</v>
      </c>
    </row>
    <row r="5" spans="1:37" x14ac:dyDescent="0.35">
      <c r="A5" t="s">
        <v>47</v>
      </c>
      <c r="B5" t="s">
        <v>48</v>
      </c>
      <c r="C5">
        <v>2</v>
      </c>
      <c r="D5" t="s">
        <v>39</v>
      </c>
      <c r="E5" t="s">
        <v>40</v>
      </c>
      <c r="F5">
        <v>1</v>
      </c>
      <c r="G5" t="s">
        <v>41</v>
      </c>
      <c r="H5">
        <v>8</v>
      </c>
      <c r="I5">
        <v>8</v>
      </c>
      <c r="J5" t="s">
        <v>42</v>
      </c>
      <c r="K5">
        <v>2</v>
      </c>
      <c r="L5">
        <v>0.47849999999999998</v>
      </c>
      <c r="M5">
        <v>50</v>
      </c>
      <c r="N5">
        <v>12</v>
      </c>
      <c r="O5">
        <v>38</v>
      </c>
      <c r="P5">
        <v>4.17</v>
      </c>
      <c r="Q5">
        <f t="shared" si="0"/>
        <v>0.76</v>
      </c>
      <c r="R5">
        <v>0</v>
      </c>
      <c r="S5">
        <v>12</v>
      </c>
      <c r="T5">
        <v>1</v>
      </c>
      <c r="U5">
        <v>713184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30</v>
      </c>
      <c r="AC5">
        <v>21.87</v>
      </c>
      <c r="AD5">
        <v>0.72</v>
      </c>
      <c r="AE5">
        <v>-8.27</v>
      </c>
      <c r="AF5">
        <v>0.68</v>
      </c>
      <c r="AG5">
        <v>4.97</v>
      </c>
      <c r="AH5">
        <v>6666.69</v>
      </c>
      <c r="AI5">
        <v>35.81</v>
      </c>
      <c r="AJ5">
        <v>25.9</v>
      </c>
      <c r="AK5">
        <v>24.94</v>
      </c>
    </row>
    <row r="6" spans="1:37" x14ac:dyDescent="0.35">
      <c r="A6" t="s">
        <v>49</v>
      </c>
      <c r="B6" t="s">
        <v>50</v>
      </c>
      <c r="C6">
        <v>4</v>
      </c>
      <c r="D6" t="s">
        <v>39</v>
      </c>
      <c r="E6" t="s">
        <v>40</v>
      </c>
      <c r="F6">
        <v>1</v>
      </c>
      <c r="G6" t="s">
        <v>41</v>
      </c>
      <c r="H6">
        <v>8</v>
      </c>
      <c r="I6">
        <v>8</v>
      </c>
      <c r="J6" t="s">
        <v>42</v>
      </c>
      <c r="K6">
        <v>2</v>
      </c>
      <c r="L6">
        <v>0.47849999999999998</v>
      </c>
      <c r="M6">
        <v>50</v>
      </c>
      <c r="N6">
        <v>12</v>
      </c>
      <c r="O6">
        <v>38</v>
      </c>
      <c r="P6">
        <v>4.17</v>
      </c>
      <c r="Q6">
        <f t="shared" si="0"/>
        <v>0.76</v>
      </c>
      <c r="R6">
        <v>5</v>
      </c>
      <c r="S6">
        <v>7</v>
      </c>
      <c r="T6">
        <v>0.58330000000000004</v>
      </c>
      <c r="U6">
        <v>713184</v>
      </c>
      <c r="V6">
        <v>297160</v>
      </c>
      <c r="W6">
        <v>41.67</v>
      </c>
      <c r="X6">
        <v>4.7600000000000003E-2</v>
      </c>
      <c r="Y6">
        <v>0.01</v>
      </c>
      <c r="Z6">
        <v>5943</v>
      </c>
      <c r="AA6">
        <v>5.9999999999999995E-4</v>
      </c>
      <c r="AB6">
        <v>30</v>
      </c>
      <c r="AC6">
        <v>21.87</v>
      </c>
      <c r="AD6">
        <v>0.72</v>
      </c>
      <c r="AE6">
        <v>-8.57</v>
      </c>
      <c r="AF6">
        <v>0.73</v>
      </c>
      <c r="AG6">
        <v>6.19</v>
      </c>
      <c r="AH6">
        <v>6666.69</v>
      </c>
      <c r="AI6">
        <v>35.81</v>
      </c>
      <c r="AJ6">
        <v>26.6</v>
      </c>
      <c r="AK6">
        <v>25.61</v>
      </c>
    </row>
    <row r="7" spans="1:37" x14ac:dyDescent="0.35">
      <c r="A7" t="s">
        <v>51</v>
      </c>
      <c r="B7" t="s">
        <v>52</v>
      </c>
      <c r="C7">
        <v>6</v>
      </c>
      <c r="D7" t="s">
        <v>39</v>
      </c>
      <c r="E7" t="s">
        <v>40</v>
      </c>
      <c r="F7">
        <v>1</v>
      </c>
      <c r="G7" t="s">
        <v>41</v>
      </c>
      <c r="H7">
        <v>8</v>
      </c>
      <c r="I7">
        <v>8</v>
      </c>
      <c r="J7" t="s">
        <v>42</v>
      </c>
      <c r="K7">
        <v>2</v>
      </c>
      <c r="L7">
        <v>0.47849999999999998</v>
      </c>
      <c r="M7">
        <v>50</v>
      </c>
      <c r="N7">
        <v>14</v>
      </c>
      <c r="O7">
        <v>36</v>
      </c>
      <c r="P7">
        <v>3.57</v>
      </c>
      <c r="Q7">
        <f t="shared" si="0"/>
        <v>0.72</v>
      </c>
      <c r="R7">
        <v>14</v>
      </c>
      <c r="S7">
        <v>0</v>
      </c>
      <c r="T7">
        <v>0</v>
      </c>
      <c r="U7">
        <v>832048</v>
      </c>
      <c r="V7">
        <v>832048</v>
      </c>
      <c r="W7">
        <v>100</v>
      </c>
      <c r="X7">
        <v>0.1333</v>
      </c>
      <c r="Y7">
        <v>0.02</v>
      </c>
      <c r="Z7">
        <v>16641</v>
      </c>
      <c r="AA7">
        <v>1.8E-3</v>
      </c>
      <c r="AB7">
        <v>30</v>
      </c>
      <c r="AC7">
        <v>21.87</v>
      </c>
      <c r="AD7">
        <v>0.72</v>
      </c>
      <c r="AE7">
        <v>-8.77</v>
      </c>
      <c r="AF7">
        <v>0.77</v>
      </c>
      <c r="AG7">
        <v>7.9</v>
      </c>
      <c r="AH7">
        <v>6666.69</v>
      </c>
      <c r="AI7">
        <v>35.81</v>
      </c>
      <c r="AJ7">
        <v>27.36</v>
      </c>
      <c r="AK7">
        <v>26.34</v>
      </c>
    </row>
    <row r="8" spans="1:37" x14ac:dyDescent="0.35">
      <c r="A8" t="s">
        <v>53</v>
      </c>
      <c r="B8" t="s">
        <v>54</v>
      </c>
      <c r="C8">
        <v>8</v>
      </c>
      <c r="D8" t="s">
        <v>39</v>
      </c>
      <c r="E8" t="s">
        <v>40</v>
      </c>
      <c r="F8">
        <v>1</v>
      </c>
      <c r="G8" t="s">
        <v>41</v>
      </c>
      <c r="H8">
        <v>8</v>
      </c>
      <c r="I8">
        <v>8</v>
      </c>
      <c r="J8" t="s">
        <v>42</v>
      </c>
      <c r="K8">
        <v>2</v>
      </c>
      <c r="L8">
        <v>0.47849999999999998</v>
      </c>
      <c r="M8">
        <v>50</v>
      </c>
      <c r="N8">
        <v>19</v>
      </c>
      <c r="O8">
        <v>31</v>
      </c>
      <c r="P8">
        <v>2.63</v>
      </c>
      <c r="Q8">
        <f t="shared" si="0"/>
        <v>0.62</v>
      </c>
      <c r="R8">
        <v>19</v>
      </c>
      <c r="S8">
        <v>0</v>
      </c>
      <c r="T8">
        <v>0</v>
      </c>
      <c r="U8">
        <v>1129208</v>
      </c>
      <c r="V8">
        <v>1129208</v>
      </c>
      <c r="W8">
        <v>100</v>
      </c>
      <c r="X8">
        <v>0.18099999999999999</v>
      </c>
      <c r="Y8">
        <v>0.02</v>
      </c>
      <c r="Z8">
        <v>22584</v>
      </c>
      <c r="AA8">
        <v>2.3999999999999998E-3</v>
      </c>
      <c r="AB8">
        <v>30</v>
      </c>
      <c r="AC8">
        <v>21.87</v>
      </c>
      <c r="AD8">
        <v>0.72</v>
      </c>
      <c r="AE8">
        <v>-8.9</v>
      </c>
      <c r="AF8">
        <v>0.79</v>
      </c>
      <c r="AG8">
        <v>9.64</v>
      </c>
      <c r="AH8">
        <v>6666.69</v>
      </c>
      <c r="AI8">
        <v>35.81</v>
      </c>
      <c r="AJ8">
        <v>27.96</v>
      </c>
      <c r="AK8">
        <v>26.95</v>
      </c>
    </row>
    <row r="9" spans="1:37" x14ac:dyDescent="0.35">
      <c r="A9" t="s">
        <v>55</v>
      </c>
      <c r="B9" t="s">
        <v>56</v>
      </c>
      <c r="C9">
        <v>0</v>
      </c>
      <c r="D9" t="s">
        <v>57</v>
      </c>
      <c r="E9" t="s">
        <v>40</v>
      </c>
      <c r="F9">
        <v>1</v>
      </c>
      <c r="G9" t="s">
        <v>41</v>
      </c>
      <c r="H9">
        <v>8</v>
      </c>
      <c r="I9">
        <v>8</v>
      </c>
      <c r="J9" t="s">
        <v>42</v>
      </c>
      <c r="K9">
        <v>2</v>
      </c>
      <c r="L9">
        <v>0.47849999999999998</v>
      </c>
      <c r="M9">
        <v>50</v>
      </c>
      <c r="N9">
        <v>18</v>
      </c>
      <c r="O9">
        <v>32</v>
      </c>
      <c r="P9">
        <v>2.78</v>
      </c>
      <c r="Q9">
        <f t="shared" si="0"/>
        <v>0.64</v>
      </c>
      <c r="R9">
        <v>17</v>
      </c>
      <c r="S9">
        <v>1</v>
      </c>
      <c r="T9">
        <v>5.5599999999999997E-2</v>
      </c>
      <c r="U9">
        <v>433296</v>
      </c>
      <c r="V9">
        <v>409224</v>
      </c>
      <c r="W9">
        <v>94.44</v>
      </c>
      <c r="X9">
        <v>0.16400000000000001</v>
      </c>
      <c r="Y9">
        <v>0.01</v>
      </c>
      <c r="Z9">
        <v>8184</v>
      </c>
      <c r="AA9">
        <v>8.9999999999999998E-4</v>
      </c>
      <c r="AB9">
        <v>30</v>
      </c>
      <c r="AC9">
        <v>21.87</v>
      </c>
      <c r="AD9">
        <v>0.72</v>
      </c>
      <c r="AE9">
        <v>-7.84</v>
      </c>
      <c r="AF9">
        <v>0.6</v>
      </c>
      <c r="AG9">
        <v>3.91</v>
      </c>
      <c r="AH9">
        <v>6666.69</v>
      </c>
      <c r="AI9">
        <v>35.81</v>
      </c>
      <c r="AJ9">
        <v>10.6</v>
      </c>
      <c r="AK9">
        <v>9.6300000000000008</v>
      </c>
    </row>
    <row r="10" spans="1:37" x14ac:dyDescent="0.35">
      <c r="A10" t="s">
        <v>58</v>
      </c>
      <c r="B10" t="s">
        <v>59</v>
      </c>
      <c r="C10">
        <v>10</v>
      </c>
      <c r="D10" t="s">
        <v>57</v>
      </c>
      <c r="E10" t="s">
        <v>40</v>
      </c>
      <c r="F10">
        <v>1</v>
      </c>
      <c r="G10" t="s">
        <v>41</v>
      </c>
      <c r="H10">
        <v>8</v>
      </c>
      <c r="I10">
        <v>8</v>
      </c>
      <c r="J10" t="s">
        <v>42</v>
      </c>
      <c r="K10">
        <v>2</v>
      </c>
      <c r="L10">
        <v>0.47849999999999998</v>
      </c>
      <c r="M10">
        <v>50</v>
      </c>
      <c r="N10">
        <v>50</v>
      </c>
      <c r="O10">
        <v>0</v>
      </c>
      <c r="P10">
        <v>1</v>
      </c>
      <c r="Q10">
        <f t="shared" si="0"/>
        <v>0</v>
      </c>
      <c r="R10">
        <v>50</v>
      </c>
      <c r="S10">
        <v>0</v>
      </c>
      <c r="T10">
        <v>0</v>
      </c>
      <c r="U10">
        <v>1203600</v>
      </c>
      <c r="V10">
        <v>1203600</v>
      </c>
      <c r="W10">
        <v>100</v>
      </c>
      <c r="X10">
        <v>0.48220000000000002</v>
      </c>
      <c r="Y10">
        <v>0.02</v>
      </c>
      <c r="Z10">
        <v>24072</v>
      </c>
      <c r="AA10">
        <v>2.5999999999999999E-3</v>
      </c>
      <c r="AB10">
        <v>30</v>
      </c>
      <c r="AC10">
        <v>21.87</v>
      </c>
      <c r="AD10">
        <v>0.72</v>
      </c>
      <c r="AE10">
        <v>-8.98</v>
      </c>
      <c r="AF10">
        <v>0.81</v>
      </c>
      <c r="AG10">
        <v>13.33</v>
      </c>
      <c r="AH10">
        <v>6666.69</v>
      </c>
      <c r="AI10">
        <v>35.81</v>
      </c>
      <c r="AJ10">
        <v>17.440000000000001</v>
      </c>
      <c r="AK10">
        <v>15.02</v>
      </c>
    </row>
    <row r="11" spans="1:37" x14ac:dyDescent="0.35">
      <c r="A11" t="s">
        <v>60</v>
      </c>
      <c r="B11" t="s">
        <v>61</v>
      </c>
      <c r="C11">
        <v>12</v>
      </c>
      <c r="D11" t="s">
        <v>57</v>
      </c>
      <c r="E11" t="s">
        <v>40</v>
      </c>
      <c r="F11">
        <v>1</v>
      </c>
      <c r="G11" t="s">
        <v>41</v>
      </c>
      <c r="H11">
        <v>8</v>
      </c>
      <c r="I11">
        <v>8</v>
      </c>
      <c r="J11" t="s">
        <v>42</v>
      </c>
      <c r="K11">
        <v>2</v>
      </c>
      <c r="L11">
        <v>0.47849999999999998</v>
      </c>
      <c r="M11">
        <v>50</v>
      </c>
      <c r="N11">
        <v>50</v>
      </c>
      <c r="O11">
        <v>0</v>
      </c>
      <c r="P11">
        <v>1</v>
      </c>
      <c r="Q11">
        <f t="shared" si="0"/>
        <v>0</v>
      </c>
      <c r="R11">
        <v>50</v>
      </c>
      <c r="S11">
        <v>0</v>
      </c>
      <c r="T11">
        <v>0</v>
      </c>
      <c r="U11">
        <v>1203600</v>
      </c>
      <c r="V11">
        <v>1203600</v>
      </c>
      <c r="W11">
        <v>100</v>
      </c>
      <c r="X11">
        <v>0.48220000000000002</v>
      </c>
      <c r="Y11">
        <v>0.02</v>
      </c>
      <c r="Z11">
        <v>24072</v>
      </c>
      <c r="AA11">
        <v>2.5999999999999999E-3</v>
      </c>
      <c r="AB11">
        <v>30</v>
      </c>
      <c r="AC11">
        <v>21.87</v>
      </c>
      <c r="AD11">
        <v>0.72</v>
      </c>
      <c r="AE11">
        <v>-8.9700000000000006</v>
      </c>
      <c r="AF11">
        <v>0.86</v>
      </c>
      <c r="AG11">
        <v>12.66</v>
      </c>
      <c r="AH11">
        <v>6666.69</v>
      </c>
      <c r="AI11">
        <v>35.81</v>
      </c>
      <c r="AJ11">
        <v>18.09</v>
      </c>
      <c r="AK11">
        <v>15.66</v>
      </c>
    </row>
    <row r="12" spans="1:37" x14ac:dyDescent="0.35">
      <c r="A12" t="s">
        <v>62</v>
      </c>
      <c r="B12" t="s">
        <v>63</v>
      </c>
      <c r="C12">
        <v>2</v>
      </c>
      <c r="D12" t="s">
        <v>57</v>
      </c>
      <c r="E12" t="s">
        <v>40</v>
      </c>
      <c r="F12">
        <v>1</v>
      </c>
      <c r="G12" t="s">
        <v>41</v>
      </c>
      <c r="H12">
        <v>8</v>
      </c>
      <c r="I12">
        <v>8</v>
      </c>
      <c r="J12" t="s">
        <v>42</v>
      </c>
      <c r="K12">
        <v>2</v>
      </c>
      <c r="L12">
        <v>0.47849999999999998</v>
      </c>
      <c r="M12">
        <v>50</v>
      </c>
      <c r="N12">
        <v>24</v>
      </c>
      <c r="O12">
        <v>26</v>
      </c>
      <c r="P12">
        <v>2.08</v>
      </c>
      <c r="Q12">
        <f t="shared" si="0"/>
        <v>0.52</v>
      </c>
      <c r="R12">
        <v>24</v>
      </c>
      <c r="S12">
        <v>0</v>
      </c>
      <c r="T12">
        <v>0</v>
      </c>
      <c r="U12">
        <v>577728</v>
      </c>
      <c r="V12">
        <v>577728</v>
      </c>
      <c r="W12">
        <v>100</v>
      </c>
      <c r="X12">
        <v>0.23150000000000001</v>
      </c>
      <c r="Y12">
        <v>0.01</v>
      </c>
      <c r="Z12">
        <v>11555</v>
      </c>
      <c r="AA12">
        <v>1.1999999999999999E-3</v>
      </c>
      <c r="AB12">
        <v>30</v>
      </c>
      <c r="AC12">
        <v>21.87</v>
      </c>
      <c r="AD12">
        <v>0.72</v>
      </c>
      <c r="AE12">
        <v>-8.2799999999999994</v>
      </c>
      <c r="AF12">
        <v>0.67</v>
      </c>
      <c r="AG12">
        <v>4.9000000000000004</v>
      </c>
      <c r="AH12">
        <v>6666.69</v>
      </c>
      <c r="AI12">
        <v>35.81</v>
      </c>
      <c r="AJ12">
        <v>11.5</v>
      </c>
      <c r="AK12">
        <v>10.35</v>
      </c>
    </row>
    <row r="13" spans="1:37" x14ac:dyDescent="0.35">
      <c r="A13" t="s">
        <v>64</v>
      </c>
      <c r="B13" t="s">
        <v>65</v>
      </c>
      <c r="C13">
        <v>4</v>
      </c>
      <c r="D13" t="s">
        <v>57</v>
      </c>
      <c r="E13" t="s">
        <v>40</v>
      </c>
      <c r="F13">
        <v>1</v>
      </c>
      <c r="G13" t="s">
        <v>41</v>
      </c>
      <c r="H13">
        <v>8</v>
      </c>
      <c r="I13">
        <v>8</v>
      </c>
      <c r="J13" t="s">
        <v>42</v>
      </c>
      <c r="K13">
        <v>2</v>
      </c>
      <c r="L13">
        <v>0.47849999999999998</v>
      </c>
      <c r="M13">
        <v>50</v>
      </c>
      <c r="N13">
        <v>40</v>
      </c>
      <c r="O13">
        <v>10</v>
      </c>
      <c r="P13">
        <v>1.25</v>
      </c>
      <c r="Q13">
        <f t="shared" si="0"/>
        <v>0.2</v>
      </c>
      <c r="R13">
        <v>40</v>
      </c>
      <c r="S13">
        <v>0</v>
      </c>
      <c r="T13">
        <v>0</v>
      </c>
      <c r="U13">
        <v>962880</v>
      </c>
      <c r="V13">
        <v>962880</v>
      </c>
      <c r="W13">
        <v>100</v>
      </c>
      <c r="X13">
        <v>0.38579999999999998</v>
      </c>
      <c r="Y13">
        <v>0.02</v>
      </c>
      <c r="Z13">
        <v>19258</v>
      </c>
      <c r="AA13">
        <v>2.0999999999999999E-3</v>
      </c>
      <c r="AB13">
        <v>30</v>
      </c>
      <c r="AC13">
        <v>21.87</v>
      </c>
      <c r="AD13">
        <v>0.72</v>
      </c>
      <c r="AE13">
        <v>-8.57</v>
      </c>
      <c r="AF13">
        <v>0.73</v>
      </c>
      <c r="AG13">
        <v>6.25</v>
      </c>
      <c r="AH13">
        <v>6666.69</v>
      </c>
      <c r="AI13">
        <v>35.81</v>
      </c>
      <c r="AJ13">
        <v>12.63</v>
      </c>
      <c r="AK13">
        <v>11.21</v>
      </c>
    </row>
    <row r="14" spans="1:37" x14ac:dyDescent="0.35">
      <c r="A14" t="s">
        <v>66</v>
      </c>
      <c r="B14" t="s">
        <v>67</v>
      </c>
      <c r="C14">
        <v>6</v>
      </c>
      <c r="D14" t="s">
        <v>57</v>
      </c>
      <c r="E14" t="s">
        <v>40</v>
      </c>
      <c r="F14">
        <v>1</v>
      </c>
      <c r="G14" t="s">
        <v>41</v>
      </c>
      <c r="H14">
        <v>8</v>
      </c>
      <c r="I14">
        <v>8</v>
      </c>
      <c r="J14" t="s">
        <v>42</v>
      </c>
      <c r="K14">
        <v>2</v>
      </c>
      <c r="L14">
        <v>0.47849999999999998</v>
      </c>
      <c r="M14">
        <v>50</v>
      </c>
      <c r="N14">
        <v>50</v>
      </c>
      <c r="O14">
        <v>0</v>
      </c>
      <c r="P14">
        <v>1</v>
      </c>
      <c r="Q14">
        <f t="shared" si="0"/>
        <v>0</v>
      </c>
      <c r="R14">
        <v>50</v>
      </c>
      <c r="S14">
        <v>0</v>
      </c>
      <c r="T14">
        <v>0</v>
      </c>
      <c r="U14">
        <v>1203600</v>
      </c>
      <c r="V14">
        <v>1203600</v>
      </c>
      <c r="W14">
        <v>100</v>
      </c>
      <c r="X14">
        <v>0.48220000000000002</v>
      </c>
      <c r="Y14">
        <v>0.02</v>
      </c>
      <c r="Z14">
        <v>24072</v>
      </c>
      <c r="AA14">
        <v>2.5999999999999999E-3</v>
      </c>
      <c r="AB14">
        <v>30</v>
      </c>
      <c r="AC14">
        <v>21.87</v>
      </c>
      <c r="AD14">
        <v>0.72</v>
      </c>
      <c r="AE14">
        <v>-8.77</v>
      </c>
      <c r="AF14">
        <v>0.77</v>
      </c>
      <c r="AG14">
        <v>8.5299999999999994</v>
      </c>
      <c r="AH14">
        <v>6666.69</v>
      </c>
      <c r="AI14">
        <v>35.81</v>
      </c>
      <c r="AJ14">
        <v>14.03</v>
      </c>
      <c r="AK14">
        <v>12.25</v>
      </c>
    </row>
    <row r="15" spans="1:37" x14ac:dyDescent="0.35">
      <c r="A15" t="s">
        <v>68</v>
      </c>
      <c r="B15" t="s">
        <v>69</v>
      </c>
      <c r="C15">
        <v>8</v>
      </c>
      <c r="D15" t="s">
        <v>57</v>
      </c>
      <c r="E15" t="s">
        <v>40</v>
      </c>
      <c r="F15">
        <v>1</v>
      </c>
      <c r="G15" t="s">
        <v>41</v>
      </c>
      <c r="H15">
        <v>8</v>
      </c>
      <c r="I15">
        <v>8</v>
      </c>
      <c r="J15" t="s">
        <v>42</v>
      </c>
      <c r="K15">
        <v>2</v>
      </c>
      <c r="L15">
        <v>0.47849999999999998</v>
      </c>
      <c r="M15">
        <v>50</v>
      </c>
      <c r="N15">
        <v>50</v>
      </c>
      <c r="O15">
        <v>0</v>
      </c>
      <c r="P15">
        <v>1</v>
      </c>
      <c r="Q15">
        <f t="shared" si="0"/>
        <v>0</v>
      </c>
      <c r="R15">
        <v>50</v>
      </c>
      <c r="S15">
        <v>0</v>
      </c>
      <c r="T15">
        <v>0</v>
      </c>
      <c r="U15">
        <v>1203600</v>
      </c>
      <c r="V15">
        <v>1203600</v>
      </c>
      <c r="W15">
        <v>100</v>
      </c>
      <c r="X15">
        <v>0.48220000000000002</v>
      </c>
      <c r="Y15">
        <v>0.02</v>
      </c>
      <c r="Z15">
        <v>24072</v>
      </c>
      <c r="AA15">
        <v>2.5999999999999999E-3</v>
      </c>
      <c r="AB15">
        <v>30</v>
      </c>
      <c r="AC15">
        <v>21.87</v>
      </c>
      <c r="AD15">
        <v>0.72</v>
      </c>
      <c r="AE15">
        <v>-8.9</v>
      </c>
      <c r="AF15">
        <v>0.79</v>
      </c>
      <c r="AG15">
        <v>10.64</v>
      </c>
      <c r="AH15">
        <v>6666.69</v>
      </c>
      <c r="AI15">
        <v>35.81</v>
      </c>
      <c r="AJ15">
        <v>15.65</v>
      </c>
      <c r="AK15">
        <v>13.52</v>
      </c>
    </row>
    <row r="16" spans="1:37" x14ac:dyDescent="0.35">
      <c r="A16" t="s">
        <v>70</v>
      </c>
      <c r="B16" t="s">
        <v>71</v>
      </c>
      <c r="C16">
        <v>0</v>
      </c>
      <c r="D16" t="s">
        <v>72</v>
      </c>
      <c r="E16" t="s">
        <v>40</v>
      </c>
      <c r="F16">
        <v>1</v>
      </c>
      <c r="G16" t="s">
        <v>41</v>
      </c>
      <c r="H16">
        <v>8</v>
      </c>
      <c r="I16">
        <v>8</v>
      </c>
      <c r="J16" t="s">
        <v>42</v>
      </c>
      <c r="K16">
        <v>2</v>
      </c>
      <c r="L16">
        <v>0.47849999999999998</v>
      </c>
      <c r="M16">
        <v>50</v>
      </c>
      <c r="N16">
        <v>12</v>
      </c>
      <c r="O16">
        <v>38</v>
      </c>
      <c r="P16">
        <v>4.17</v>
      </c>
      <c r="Q16">
        <f t="shared" si="0"/>
        <v>0.76</v>
      </c>
      <c r="R16">
        <v>0</v>
      </c>
      <c r="S16">
        <v>12</v>
      </c>
      <c r="T16">
        <v>1</v>
      </c>
      <c r="U16">
        <v>578016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30</v>
      </c>
      <c r="AC16">
        <v>21.87</v>
      </c>
      <c r="AD16">
        <v>0.72</v>
      </c>
      <c r="AE16">
        <v>-7.85</v>
      </c>
      <c r="AF16">
        <v>0.62</v>
      </c>
      <c r="AG16">
        <v>4.0199999999999996</v>
      </c>
      <c r="AH16">
        <v>6666.69</v>
      </c>
      <c r="AI16">
        <v>35.81</v>
      </c>
      <c r="AJ16">
        <v>21.03</v>
      </c>
      <c r="AK16">
        <v>20.34</v>
      </c>
    </row>
    <row r="17" spans="1:37" x14ac:dyDescent="0.35">
      <c r="A17" t="s">
        <v>73</v>
      </c>
      <c r="B17" t="s">
        <v>74</v>
      </c>
      <c r="C17">
        <v>0</v>
      </c>
      <c r="D17" t="s">
        <v>72</v>
      </c>
      <c r="E17" t="s">
        <v>40</v>
      </c>
      <c r="F17">
        <v>2</v>
      </c>
      <c r="G17" t="s">
        <v>41</v>
      </c>
      <c r="H17">
        <v>8</v>
      </c>
      <c r="I17">
        <v>8</v>
      </c>
      <c r="J17" t="s">
        <v>42</v>
      </c>
      <c r="K17">
        <v>2</v>
      </c>
      <c r="L17">
        <v>0.47849999999999998</v>
      </c>
      <c r="M17">
        <v>50</v>
      </c>
      <c r="N17">
        <v>13</v>
      </c>
      <c r="O17">
        <v>37</v>
      </c>
      <c r="P17">
        <v>3.85</v>
      </c>
      <c r="Q17">
        <f t="shared" si="0"/>
        <v>0.74</v>
      </c>
      <c r="R17">
        <v>0</v>
      </c>
      <c r="S17">
        <v>12</v>
      </c>
      <c r="T17">
        <v>0.92310000000000003</v>
      </c>
      <c r="U17">
        <v>626184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30</v>
      </c>
      <c r="AC17">
        <v>21.87</v>
      </c>
      <c r="AD17">
        <v>0.72</v>
      </c>
      <c r="AE17">
        <v>-7.84</v>
      </c>
      <c r="AF17">
        <v>0.61</v>
      </c>
      <c r="AG17">
        <v>3.87</v>
      </c>
      <c r="AH17">
        <v>6666.69</v>
      </c>
      <c r="AI17">
        <v>35.81</v>
      </c>
      <c r="AJ17">
        <v>21.06</v>
      </c>
      <c r="AK17">
        <v>20.3</v>
      </c>
    </row>
    <row r="18" spans="1:37" x14ac:dyDescent="0.35">
      <c r="A18" t="s">
        <v>75</v>
      </c>
      <c r="B18" t="s">
        <v>76</v>
      </c>
      <c r="C18">
        <v>0</v>
      </c>
      <c r="D18" t="s">
        <v>72</v>
      </c>
      <c r="E18" t="s">
        <v>40</v>
      </c>
      <c r="F18">
        <v>4</v>
      </c>
      <c r="G18" t="s">
        <v>41</v>
      </c>
      <c r="H18">
        <v>8</v>
      </c>
      <c r="I18">
        <v>8</v>
      </c>
      <c r="J18" t="s">
        <v>42</v>
      </c>
      <c r="K18">
        <v>2</v>
      </c>
      <c r="L18">
        <v>0.47849999999999998</v>
      </c>
      <c r="M18">
        <v>50</v>
      </c>
      <c r="N18">
        <v>14</v>
      </c>
      <c r="O18">
        <v>36</v>
      </c>
      <c r="P18">
        <v>3.57</v>
      </c>
      <c r="Q18">
        <f t="shared" si="0"/>
        <v>0.72</v>
      </c>
      <c r="R18">
        <v>0</v>
      </c>
      <c r="S18">
        <v>11</v>
      </c>
      <c r="T18">
        <v>0.78569999999999995</v>
      </c>
      <c r="U18">
        <v>674352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30</v>
      </c>
      <c r="AC18">
        <v>21.87</v>
      </c>
      <c r="AD18">
        <v>0.72</v>
      </c>
      <c r="AE18">
        <v>-7.85</v>
      </c>
      <c r="AF18">
        <v>0.62</v>
      </c>
      <c r="AG18">
        <v>3.74</v>
      </c>
      <c r="AH18">
        <v>6666.69</v>
      </c>
      <c r="AI18">
        <v>35.81</v>
      </c>
      <c r="AJ18">
        <v>21.04</v>
      </c>
      <c r="AK18">
        <v>20.309999999999999</v>
      </c>
    </row>
    <row r="19" spans="1:37" x14ac:dyDescent="0.35">
      <c r="A19" t="s">
        <v>77</v>
      </c>
      <c r="B19" t="s">
        <v>78</v>
      </c>
      <c r="C19">
        <v>0</v>
      </c>
      <c r="D19" t="s">
        <v>72</v>
      </c>
      <c r="E19" t="s">
        <v>40</v>
      </c>
      <c r="F19">
        <v>8</v>
      </c>
      <c r="G19" t="s">
        <v>41</v>
      </c>
      <c r="H19">
        <v>8</v>
      </c>
      <c r="I19">
        <v>8</v>
      </c>
      <c r="J19" t="s">
        <v>42</v>
      </c>
      <c r="K19">
        <v>2</v>
      </c>
      <c r="L19">
        <v>0.47849999999999998</v>
      </c>
      <c r="M19">
        <v>50</v>
      </c>
      <c r="N19">
        <v>15</v>
      </c>
      <c r="O19">
        <v>35</v>
      </c>
      <c r="P19">
        <v>3.33</v>
      </c>
      <c r="Q19">
        <f t="shared" si="0"/>
        <v>0.7</v>
      </c>
      <c r="R19">
        <v>0</v>
      </c>
      <c r="S19">
        <v>8</v>
      </c>
      <c r="T19">
        <v>0.5333</v>
      </c>
      <c r="U19">
        <v>722520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30</v>
      </c>
      <c r="AC19">
        <v>21.87</v>
      </c>
      <c r="AD19">
        <v>0.72</v>
      </c>
      <c r="AE19">
        <v>-7.85</v>
      </c>
      <c r="AF19">
        <v>0.61</v>
      </c>
      <c r="AG19">
        <v>3.92</v>
      </c>
      <c r="AH19">
        <v>6666.69</v>
      </c>
      <c r="AI19">
        <v>35.81</v>
      </c>
      <c r="AJ19">
        <v>21.04</v>
      </c>
      <c r="AK19">
        <v>20.28</v>
      </c>
    </row>
    <row r="20" spans="1:37" x14ac:dyDescent="0.35">
      <c r="A20" t="s">
        <v>79</v>
      </c>
      <c r="B20" t="s">
        <v>80</v>
      </c>
      <c r="C20">
        <v>0</v>
      </c>
      <c r="D20" t="s">
        <v>72</v>
      </c>
      <c r="E20" t="s">
        <v>40</v>
      </c>
      <c r="F20">
        <v>16</v>
      </c>
      <c r="G20" t="s">
        <v>41</v>
      </c>
      <c r="H20">
        <v>8</v>
      </c>
      <c r="I20">
        <v>8</v>
      </c>
      <c r="J20" t="s">
        <v>42</v>
      </c>
      <c r="K20">
        <v>2</v>
      </c>
      <c r="L20">
        <v>0.47849999999999998</v>
      </c>
      <c r="M20">
        <v>50</v>
      </c>
      <c r="N20">
        <v>15</v>
      </c>
      <c r="O20">
        <v>35</v>
      </c>
      <c r="P20">
        <v>3.33</v>
      </c>
      <c r="Q20">
        <f t="shared" si="0"/>
        <v>0.7</v>
      </c>
      <c r="R20">
        <v>0</v>
      </c>
      <c r="S20">
        <v>0</v>
      </c>
      <c r="T20">
        <v>0</v>
      </c>
      <c r="U20">
        <v>722520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</v>
      </c>
      <c r="AC20">
        <v>21.87</v>
      </c>
      <c r="AD20">
        <v>0.72</v>
      </c>
      <c r="AE20">
        <v>-7.85</v>
      </c>
      <c r="AF20">
        <v>0.61</v>
      </c>
      <c r="AG20">
        <v>4.4000000000000004</v>
      </c>
      <c r="AH20">
        <v>6666.69</v>
      </c>
      <c r="AI20">
        <v>35.81</v>
      </c>
      <c r="AJ20">
        <v>21.04</v>
      </c>
      <c r="AK20">
        <v>20.32</v>
      </c>
    </row>
    <row r="21" spans="1:37" x14ac:dyDescent="0.35">
      <c r="A21" t="s">
        <v>81</v>
      </c>
      <c r="B21" t="s">
        <v>82</v>
      </c>
      <c r="C21">
        <v>0</v>
      </c>
      <c r="D21" t="s">
        <v>72</v>
      </c>
      <c r="E21" t="s">
        <v>83</v>
      </c>
      <c r="F21">
        <v>0</v>
      </c>
      <c r="G21" t="s">
        <v>41</v>
      </c>
      <c r="H21">
        <v>8</v>
      </c>
      <c r="I21">
        <v>8</v>
      </c>
      <c r="J21" t="s">
        <v>42</v>
      </c>
      <c r="K21">
        <v>2</v>
      </c>
      <c r="L21">
        <v>0.47849999999999998</v>
      </c>
      <c r="M21">
        <v>50</v>
      </c>
      <c r="N21">
        <v>50</v>
      </c>
      <c r="O21">
        <v>0</v>
      </c>
      <c r="P21">
        <v>1</v>
      </c>
      <c r="Q21">
        <f t="shared" si="0"/>
        <v>0</v>
      </c>
      <c r="R21">
        <v>0</v>
      </c>
      <c r="S21">
        <v>50</v>
      </c>
      <c r="T21">
        <v>1</v>
      </c>
      <c r="U21">
        <v>2408400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</v>
      </c>
      <c r="AC21">
        <v>21.87</v>
      </c>
      <c r="AD21">
        <v>0.72</v>
      </c>
      <c r="AE21">
        <v>-7.86</v>
      </c>
      <c r="AF21">
        <v>0.61</v>
      </c>
      <c r="AG21">
        <v>4.3899999999999997</v>
      </c>
      <c r="AH21">
        <v>6666.69</v>
      </c>
      <c r="AI21">
        <v>35.81</v>
      </c>
      <c r="AJ21">
        <v>21.04</v>
      </c>
      <c r="AK21">
        <v>20.309999999999999</v>
      </c>
    </row>
    <row r="22" spans="1:37" x14ac:dyDescent="0.35">
      <c r="A22" t="s">
        <v>84</v>
      </c>
      <c r="B22" t="s">
        <v>85</v>
      </c>
      <c r="C22">
        <v>10</v>
      </c>
      <c r="D22" t="s">
        <v>72</v>
      </c>
      <c r="E22" t="s">
        <v>40</v>
      </c>
      <c r="F22">
        <v>1</v>
      </c>
      <c r="G22" t="s">
        <v>41</v>
      </c>
      <c r="H22">
        <v>8</v>
      </c>
      <c r="I22">
        <v>8</v>
      </c>
      <c r="J22" t="s">
        <v>42</v>
      </c>
      <c r="K22">
        <v>2</v>
      </c>
      <c r="L22">
        <v>0.47849999999999998</v>
      </c>
      <c r="M22">
        <v>50</v>
      </c>
      <c r="N22">
        <v>25</v>
      </c>
      <c r="O22">
        <v>25</v>
      </c>
      <c r="P22">
        <v>2</v>
      </c>
      <c r="Q22">
        <f t="shared" si="0"/>
        <v>0.5</v>
      </c>
      <c r="R22">
        <v>25</v>
      </c>
      <c r="S22">
        <v>0</v>
      </c>
      <c r="T22">
        <v>0</v>
      </c>
      <c r="U22">
        <v>1204200</v>
      </c>
      <c r="V22">
        <v>1204200</v>
      </c>
      <c r="W22">
        <v>100</v>
      </c>
      <c r="X22">
        <v>0.2412</v>
      </c>
      <c r="Y22">
        <v>0.02</v>
      </c>
      <c r="Z22">
        <v>24084</v>
      </c>
      <c r="AA22">
        <v>2.5999999999999999E-3</v>
      </c>
      <c r="AB22">
        <v>30</v>
      </c>
      <c r="AC22">
        <v>21.87</v>
      </c>
      <c r="AD22">
        <v>0.72</v>
      </c>
      <c r="AE22">
        <v>-8.9700000000000006</v>
      </c>
      <c r="AF22">
        <v>0.8</v>
      </c>
      <c r="AG22">
        <v>10.19</v>
      </c>
      <c r="AH22">
        <v>6666.69</v>
      </c>
      <c r="AI22">
        <v>35.81</v>
      </c>
      <c r="AJ22">
        <v>23.38</v>
      </c>
      <c r="AK22">
        <v>22.86</v>
      </c>
    </row>
    <row r="23" spans="1:37" x14ac:dyDescent="0.35">
      <c r="A23" t="s">
        <v>86</v>
      </c>
      <c r="B23" t="s">
        <v>87</v>
      </c>
      <c r="C23">
        <v>10</v>
      </c>
      <c r="D23" t="s">
        <v>72</v>
      </c>
      <c r="E23" t="s">
        <v>40</v>
      </c>
      <c r="F23">
        <v>2</v>
      </c>
      <c r="G23" t="s">
        <v>41</v>
      </c>
      <c r="H23">
        <v>8</v>
      </c>
      <c r="I23">
        <v>8</v>
      </c>
      <c r="J23" t="s">
        <v>42</v>
      </c>
      <c r="K23">
        <v>2</v>
      </c>
      <c r="L23">
        <v>0.47849999999999998</v>
      </c>
      <c r="M23">
        <v>50</v>
      </c>
      <c r="N23">
        <v>25</v>
      </c>
      <c r="O23">
        <v>25</v>
      </c>
      <c r="P23">
        <v>2</v>
      </c>
      <c r="Q23">
        <f t="shared" si="0"/>
        <v>0.5</v>
      </c>
      <c r="R23">
        <v>24</v>
      </c>
      <c r="S23">
        <v>0</v>
      </c>
      <c r="T23">
        <v>0</v>
      </c>
      <c r="U23">
        <v>1204200</v>
      </c>
      <c r="V23">
        <v>1156032</v>
      </c>
      <c r="W23">
        <v>96</v>
      </c>
      <c r="X23">
        <v>0.2316</v>
      </c>
      <c r="Y23">
        <v>0.02</v>
      </c>
      <c r="Z23">
        <v>23121</v>
      </c>
      <c r="AA23">
        <v>2.5000000000000001E-3</v>
      </c>
      <c r="AB23">
        <v>30</v>
      </c>
      <c r="AC23">
        <v>21.87</v>
      </c>
      <c r="AD23">
        <v>0.72</v>
      </c>
      <c r="AE23">
        <v>-8.98</v>
      </c>
      <c r="AF23">
        <v>0.81</v>
      </c>
      <c r="AG23">
        <v>11.13</v>
      </c>
      <c r="AH23">
        <v>6666.69</v>
      </c>
      <c r="AI23">
        <v>35.81</v>
      </c>
      <c r="AJ23">
        <v>23.35</v>
      </c>
      <c r="AK23">
        <v>22.85</v>
      </c>
    </row>
    <row r="24" spans="1:37" x14ac:dyDescent="0.35">
      <c r="A24" t="s">
        <v>88</v>
      </c>
      <c r="B24" t="s">
        <v>89</v>
      </c>
      <c r="C24">
        <v>10</v>
      </c>
      <c r="D24" t="s">
        <v>72</v>
      </c>
      <c r="E24" t="s">
        <v>40</v>
      </c>
      <c r="F24">
        <v>4</v>
      </c>
      <c r="G24" t="s">
        <v>41</v>
      </c>
      <c r="H24">
        <v>8</v>
      </c>
      <c r="I24">
        <v>8</v>
      </c>
      <c r="J24" t="s">
        <v>42</v>
      </c>
      <c r="K24">
        <v>2</v>
      </c>
      <c r="L24">
        <v>0.47849999999999998</v>
      </c>
      <c r="M24">
        <v>50</v>
      </c>
      <c r="N24">
        <v>26</v>
      </c>
      <c r="O24">
        <v>24</v>
      </c>
      <c r="P24">
        <v>1.92</v>
      </c>
      <c r="Q24">
        <f t="shared" si="0"/>
        <v>0.48</v>
      </c>
      <c r="R24">
        <v>24</v>
      </c>
      <c r="S24">
        <v>0</v>
      </c>
      <c r="T24">
        <v>0</v>
      </c>
      <c r="U24">
        <v>1252368</v>
      </c>
      <c r="V24">
        <v>1156032</v>
      </c>
      <c r="W24">
        <v>92.31</v>
      </c>
      <c r="X24">
        <v>0.2316</v>
      </c>
      <c r="Y24">
        <v>0.02</v>
      </c>
      <c r="Z24">
        <v>23121</v>
      </c>
      <c r="AA24">
        <v>2.5000000000000001E-3</v>
      </c>
      <c r="AB24">
        <v>30</v>
      </c>
      <c r="AC24">
        <v>21.87</v>
      </c>
      <c r="AD24">
        <v>0.72</v>
      </c>
      <c r="AE24">
        <v>-8.98</v>
      </c>
      <c r="AF24">
        <v>0.81</v>
      </c>
      <c r="AG24">
        <v>12.24</v>
      </c>
      <c r="AH24">
        <v>6666.69</v>
      </c>
      <c r="AI24">
        <v>35.81</v>
      </c>
      <c r="AJ24">
        <v>23.38</v>
      </c>
      <c r="AK24">
        <v>22.86</v>
      </c>
    </row>
    <row r="25" spans="1:37" x14ac:dyDescent="0.35">
      <c r="A25" t="s">
        <v>90</v>
      </c>
      <c r="B25" t="s">
        <v>91</v>
      </c>
      <c r="C25">
        <v>10</v>
      </c>
      <c r="D25" t="s">
        <v>72</v>
      </c>
      <c r="E25" t="s">
        <v>40</v>
      </c>
      <c r="F25">
        <v>8</v>
      </c>
      <c r="G25" t="s">
        <v>41</v>
      </c>
      <c r="H25">
        <v>8</v>
      </c>
      <c r="I25">
        <v>8</v>
      </c>
      <c r="J25" t="s">
        <v>42</v>
      </c>
      <c r="K25">
        <v>2</v>
      </c>
      <c r="L25">
        <v>0.47849999999999998</v>
      </c>
      <c r="M25">
        <v>50</v>
      </c>
      <c r="N25">
        <v>26</v>
      </c>
      <c r="O25">
        <v>24</v>
      </c>
      <c r="P25">
        <v>1.92</v>
      </c>
      <c r="Q25">
        <f t="shared" si="0"/>
        <v>0.48</v>
      </c>
      <c r="R25">
        <v>24</v>
      </c>
      <c r="S25">
        <v>0</v>
      </c>
      <c r="T25">
        <v>0</v>
      </c>
      <c r="U25">
        <v>1252368</v>
      </c>
      <c r="V25">
        <v>1156032</v>
      </c>
      <c r="W25">
        <v>92.31</v>
      </c>
      <c r="X25">
        <v>0.2316</v>
      </c>
      <c r="Y25">
        <v>0.02</v>
      </c>
      <c r="Z25">
        <v>23121</v>
      </c>
      <c r="AA25">
        <v>2.5000000000000001E-3</v>
      </c>
      <c r="AB25">
        <v>30</v>
      </c>
      <c r="AC25">
        <v>21.87</v>
      </c>
      <c r="AD25">
        <v>0.72</v>
      </c>
      <c r="AE25">
        <v>-8.98</v>
      </c>
      <c r="AF25">
        <v>0.8</v>
      </c>
      <c r="AG25">
        <v>11.98</v>
      </c>
      <c r="AH25">
        <v>6666.69</v>
      </c>
      <c r="AI25">
        <v>35.81</v>
      </c>
      <c r="AJ25">
        <v>23.36</v>
      </c>
      <c r="AK25">
        <v>22.85</v>
      </c>
    </row>
    <row r="26" spans="1:37" x14ac:dyDescent="0.35">
      <c r="A26" t="s">
        <v>92</v>
      </c>
      <c r="B26" t="s">
        <v>93</v>
      </c>
      <c r="C26">
        <v>10</v>
      </c>
      <c r="D26" t="s">
        <v>72</v>
      </c>
      <c r="E26" t="s">
        <v>40</v>
      </c>
      <c r="F26">
        <v>16</v>
      </c>
      <c r="G26" t="s">
        <v>41</v>
      </c>
      <c r="H26">
        <v>8</v>
      </c>
      <c r="I26">
        <v>8</v>
      </c>
      <c r="J26" t="s">
        <v>42</v>
      </c>
      <c r="K26">
        <v>2</v>
      </c>
      <c r="L26">
        <v>0.47849999999999998</v>
      </c>
      <c r="M26">
        <v>50</v>
      </c>
      <c r="N26">
        <v>31</v>
      </c>
      <c r="O26">
        <v>19</v>
      </c>
      <c r="P26">
        <v>1.61</v>
      </c>
      <c r="Q26">
        <f t="shared" si="0"/>
        <v>0.38</v>
      </c>
      <c r="R26">
        <v>18</v>
      </c>
      <c r="S26">
        <v>0</v>
      </c>
      <c r="T26">
        <v>0</v>
      </c>
      <c r="U26">
        <v>1493208</v>
      </c>
      <c r="V26">
        <v>867024</v>
      </c>
      <c r="W26">
        <v>58.06</v>
      </c>
      <c r="X26">
        <v>0.17369999999999999</v>
      </c>
      <c r="Y26">
        <v>0.02</v>
      </c>
      <c r="Z26">
        <v>17340</v>
      </c>
      <c r="AA26">
        <v>1.9E-3</v>
      </c>
      <c r="AB26">
        <v>30</v>
      </c>
      <c r="AC26">
        <v>21.87</v>
      </c>
      <c r="AD26">
        <v>0.72</v>
      </c>
      <c r="AE26">
        <v>-8.99</v>
      </c>
      <c r="AF26">
        <v>0.8</v>
      </c>
      <c r="AG26">
        <v>12.38</v>
      </c>
      <c r="AH26">
        <v>6666.69</v>
      </c>
      <c r="AI26">
        <v>35.81</v>
      </c>
      <c r="AJ26">
        <v>23.35</v>
      </c>
      <c r="AK26">
        <v>22.85</v>
      </c>
    </row>
    <row r="27" spans="1:37" x14ac:dyDescent="0.35">
      <c r="A27" t="s">
        <v>94</v>
      </c>
      <c r="B27" t="s">
        <v>95</v>
      </c>
      <c r="C27">
        <v>10</v>
      </c>
      <c r="D27" t="s">
        <v>72</v>
      </c>
      <c r="E27" t="s">
        <v>83</v>
      </c>
      <c r="F27">
        <v>0</v>
      </c>
      <c r="G27" t="s">
        <v>41</v>
      </c>
      <c r="H27">
        <v>8</v>
      </c>
      <c r="I27">
        <v>8</v>
      </c>
      <c r="J27" t="s">
        <v>42</v>
      </c>
      <c r="K27">
        <v>2</v>
      </c>
      <c r="L27">
        <v>0.47849999999999998</v>
      </c>
      <c r="M27">
        <v>50</v>
      </c>
      <c r="N27">
        <v>50</v>
      </c>
      <c r="O27">
        <v>0</v>
      </c>
      <c r="P27">
        <v>1</v>
      </c>
      <c r="Q27">
        <f t="shared" si="0"/>
        <v>0</v>
      </c>
      <c r="R27">
        <v>0</v>
      </c>
      <c r="S27">
        <v>50</v>
      </c>
      <c r="T27">
        <v>1</v>
      </c>
      <c r="U27">
        <v>2408400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</v>
      </c>
      <c r="AC27">
        <v>21.87</v>
      </c>
      <c r="AD27">
        <v>0.72</v>
      </c>
      <c r="AE27">
        <v>-8.99</v>
      </c>
      <c r="AF27">
        <v>0.8</v>
      </c>
      <c r="AG27">
        <v>13.02</v>
      </c>
      <c r="AH27">
        <v>6666.69</v>
      </c>
      <c r="AI27">
        <v>35.81</v>
      </c>
      <c r="AJ27">
        <v>23.36</v>
      </c>
      <c r="AK27">
        <v>22.84</v>
      </c>
    </row>
    <row r="28" spans="1:37" x14ac:dyDescent="0.35">
      <c r="A28" t="s">
        <v>96</v>
      </c>
      <c r="B28" t="s">
        <v>97</v>
      </c>
      <c r="C28">
        <v>12</v>
      </c>
      <c r="D28" t="s">
        <v>72</v>
      </c>
      <c r="E28" t="s">
        <v>40</v>
      </c>
      <c r="F28">
        <v>1</v>
      </c>
      <c r="G28" t="s">
        <v>41</v>
      </c>
      <c r="H28">
        <v>8</v>
      </c>
      <c r="I28">
        <v>8</v>
      </c>
      <c r="J28" t="s">
        <v>42</v>
      </c>
      <c r="K28">
        <v>2</v>
      </c>
      <c r="L28">
        <v>0.47849999999999998</v>
      </c>
      <c r="M28">
        <v>50</v>
      </c>
      <c r="N28">
        <v>25</v>
      </c>
      <c r="O28">
        <v>25</v>
      </c>
      <c r="P28">
        <v>2</v>
      </c>
      <c r="Q28">
        <f t="shared" si="0"/>
        <v>0.5</v>
      </c>
      <c r="R28">
        <v>25</v>
      </c>
      <c r="S28">
        <v>0</v>
      </c>
      <c r="T28">
        <v>0</v>
      </c>
      <c r="U28">
        <v>1204200</v>
      </c>
      <c r="V28">
        <v>1204200</v>
      </c>
      <c r="W28">
        <v>100</v>
      </c>
      <c r="X28">
        <v>0.2412</v>
      </c>
      <c r="Y28">
        <v>0.02</v>
      </c>
      <c r="Z28">
        <v>24084</v>
      </c>
      <c r="AA28">
        <v>2.5999999999999999E-3</v>
      </c>
      <c r="AB28">
        <v>30</v>
      </c>
      <c r="AC28">
        <v>21.87</v>
      </c>
      <c r="AD28">
        <v>0.72</v>
      </c>
      <c r="AE28">
        <v>-8.9600000000000009</v>
      </c>
      <c r="AF28">
        <v>0.86</v>
      </c>
      <c r="AG28">
        <v>10.28</v>
      </c>
      <c r="AH28">
        <v>6666.69</v>
      </c>
      <c r="AI28">
        <v>35.81</v>
      </c>
      <c r="AJ28">
        <v>23.57</v>
      </c>
      <c r="AK28">
        <v>23.03</v>
      </c>
    </row>
    <row r="29" spans="1:37" x14ac:dyDescent="0.35">
      <c r="A29" t="s">
        <v>98</v>
      </c>
      <c r="B29" t="s">
        <v>99</v>
      </c>
      <c r="C29">
        <v>12</v>
      </c>
      <c r="D29" t="s">
        <v>72</v>
      </c>
      <c r="E29" t="s">
        <v>40</v>
      </c>
      <c r="F29">
        <v>2</v>
      </c>
      <c r="G29" t="s">
        <v>41</v>
      </c>
      <c r="H29">
        <v>8</v>
      </c>
      <c r="I29">
        <v>8</v>
      </c>
      <c r="J29" t="s">
        <v>42</v>
      </c>
      <c r="K29">
        <v>2</v>
      </c>
      <c r="L29">
        <v>0.47849999999999998</v>
      </c>
      <c r="M29">
        <v>50</v>
      </c>
      <c r="N29">
        <v>25</v>
      </c>
      <c r="O29">
        <v>25</v>
      </c>
      <c r="P29">
        <v>2</v>
      </c>
      <c r="Q29">
        <f t="shared" si="0"/>
        <v>0.5</v>
      </c>
      <c r="R29">
        <v>24</v>
      </c>
      <c r="S29">
        <v>0</v>
      </c>
      <c r="T29">
        <v>0</v>
      </c>
      <c r="U29">
        <v>1204200</v>
      </c>
      <c r="V29">
        <v>1156032</v>
      </c>
      <c r="W29">
        <v>96</v>
      </c>
      <c r="X29">
        <v>0.2316</v>
      </c>
      <c r="Y29">
        <v>0.02</v>
      </c>
      <c r="Z29">
        <v>23121</v>
      </c>
      <c r="AA29">
        <v>2.5000000000000001E-3</v>
      </c>
      <c r="AB29">
        <v>30</v>
      </c>
      <c r="AC29">
        <v>21.87</v>
      </c>
      <c r="AD29">
        <v>0.72</v>
      </c>
      <c r="AE29">
        <v>-8.9600000000000009</v>
      </c>
      <c r="AF29">
        <v>0.86</v>
      </c>
      <c r="AG29">
        <v>11.15</v>
      </c>
      <c r="AH29">
        <v>6666.69</v>
      </c>
      <c r="AI29">
        <v>35.81</v>
      </c>
      <c r="AJ29">
        <v>23.56</v>
      </c>
      <c r="AK29">
        <v>23.04</v>
      </c>
    </row>
    <row r="30" spans="1:37" x14ac:dyDescent="0.35">
      <c r="A30" t="s">
        <v>100</v>
      </c>
      <c r="B30" t="s">
        <v>101</v>
      </c>
      <c r="C30">
        <v>12</v>
      </c>
      <c r="D30" t="s">
        <v>72</v>
      </c>
      <c r="E30" t="s">
        <v>40</v>
      </c>
      <c r="F30">
        <v>4</v>
      </c>
      <c r="G30" t="s">
        <v>41</v>
      </c>
      <c r="H30">
        <v>8</v>
      </c>
      <c r="I30">
        <v>8</v>
      </c>
      <c r="J30" t="s">
        <v>42</v>
      </c>
      <c r="K30">
        <v>2</v>
      </c>
      <c r="L30">
        <v>0.47849999999999998</v>
      </c>
      <c r="M30">
        <v>50</v>
      </c>
      <c r="N30">
        <v>26</v>
      </c>
      <c r="O30">
        <v>24</v>
      </c>
      <c r="P30">
        <v>1.92</v>
      </c>
      <c r="Q30">
        <f t="shared" si="0"/>
        <v>0.48</v>
      </c>
      <c r="R30">
        <v>24</v>
      </c>
      <c r="S30">
        <v>0</v>
      </c>
      <c r="T30">
        <v>0</v>
      </c>
      <c r="U30">
        <v>1252368</v>
      </c>
      <c r="V30">
        <v>1156032</v>
      </c>
      <c r="W30">
        <v>92.31</v>
      </c>
      <c r="X30">
        <v>0.2316</v>
      </c>
      <c r="Y30">
        <v>0.02</v>
      </c>
      <c r="Z30">
        <v>23121</v>
      </c>
      <c r="AA30">
        <v>2.5000000000000001E-3</v>
      </c>
      <c r="AB30">
        <v>30</v>
      </c>
      <c r="AC30">
        <v>21.87</v>
      </c>
      <c r="AD30">
        <v>0.72</v>
      </c>
      <c r="AE30">
        <v>-8.9700000000000006</v>
      </c>
      <c r="AF30">
        <v>0.86</v>
      </c>
      <c r="AG30">
        <v>11.79</v>
      </c>
      <c r="AH30">
        <v>6666.69</v>
      </c>
      <c r="AI30">
        <v>35.81</v>
      </c>
      <c r="AJ30">
        <v>23.58</v>
      </c>
      <c r="AK30">
        <v>23.03</v>
      </c>
    </row>
    <row r="31" spans="1:37" x14ac:dyDescent="0.35">
      <c r="A31" t="s">
        <v>102</v>
      </c>
      <c r="B31" t="s">
        <v>103</v>
      </c>
      <c r="C31">
        <v>12</v>
      </c>
      <c r="D31" t="s">
        <v>72</v>
      </c>
      <c r="E31" t="s">
        <v>40</v>
      </c>
      <c r="F31">
        <v>8</v>
      </c>
      <c r="G31" t="s">
        <v>41</v>
      </c>
      <c r="H31">
        <v>8</v>
      </c>
      <c r="I31">
        <v>8</v>
      </c>
      <c r="J31" t="s">
        <v>42</v>
      </c>
      <c r="K31">
        <v>2</v>
      </c>
      <c r="L31">
        <v>0.47849999999999998</v>
      </c>
      <c r="M31">
        <v>50</v>
      </c>
      <c r="N31">
        <v>27</v>
      </c>
      <c r="O31">
        <v>23</v>
      </c>
      <c r="P31">
        <v>1.85</v>
      </c>
      <c r="Q31">
        <f t="shared" si="0"/>
        <v>0.46</v>
      </c>
      <c r="R31">
        <v>25</v>
      </c>
      <c r="S31">
        <v>0</v>
      </c>
      <c r="T31">
        <v>0</v>
      </c>
      <c r="U31">
        <v>1300536</v>
      </c>
      <c r="V31">
        <v>1204200</v>
      </c>
      <c r="W31">
        <v>92.59</v>
      </c>
      <c r="X31">
        <v>0.2412</v>
      </c>
      <c r="Y31">
        <v>0.02</v>
      </c>
      <c r="Z31">
        <v>24084</v>
      </c>
      <c r="AA31">
        <v>2.5999999999999999E-3</v>
      </c>
      <c r="AB31">
        <v>30</v>
      </c>
      <c r="AC31">
        <v>21.87</v>
      </c>
      <c r="AD31">
        <v>0.72</v>
      </c>
      <c r="AE31">
        <v>-8.9700000000000006</v>
      </c>
      <c r="AF31">
        <v>0.86</v>
      </c>
      <c r="AG31">
        <v>12.68</v>
      </c>
      <c r="AH31">
        <v>6666.69</v>
      </c>
      <c r="AI31">
        <v>35.81</v>
      </c>
      <c r="AJ31">
        <v>23.57</v>
      </c>
      <c r="AK31">
        <v>23.04</v>
      </c>
    </row>
    <row r="32" spans="1:37" x14ac:dyDescent="0.35">
      <c r="A32" t="s">
        <v>104</v>
      </c>
      <c r="B32" t="s">
        <v>105</v>
      </c>
      <c r="C32">
        <v>12</v>
      </c>
      <c r="D32" t="s">
        <v>72</v>
      </c>
      <c r="E32" t="s">
        <v>40</v>
      </c>
      <c r="F32">
        <v>16</v>
      </c>
      <c r="G32" t="s">
        <v>41</v>
      </c>
      <c r="H32">
        <v>8</v>
      </c>
      <c r="I32">
        <v>8</v>
      </c>
      <c r="J32" t="s">
        <v>42</v>
      </c>
      <c r="K32">
        <v>2</v>
      </c>
      <c r="L32">
        <v>0.47849999999999998</v>
      </c>
      <c r="M32">
        <v>50</v>
      </c>
      <c r="N32">
        <v>31</v>
      </c>
      <c r="O32">
        <v>19</v>
      </c>
      <c r="P32">
        <v>1.61</v>
      </c>
      <c r="Q32">
        <f t="shared" si="0"/>
        <v>0.38</v>
      </c>
      <c r="R32">
        <v>18</v>
      </c>
      <c r="S32">
        <v>0</v>
      </c>
      <c r="T32">
        <v>0</v>
      </c>
      <c r="U32">
        <v>1493208</v>
      </c>
      <c r="V32">
        <v>867024</v>
      </c>
      <c r="W32">
        <v>58.06</v>
      </c>
      <c r="X32">
        <v>0.17369999999999999</v>
      </c>
      <c r="Y32">
        <v>0.02</v>
      </c>
      <c r="Z32">
        <v>17340</v>
      </c>
      <c r="AA32">
        <v>1.9E-3</v>
      </c>
      <c r="AB32">
        <v>30</v>
      </c>
      <c r="AC32">
        <v>21.87</v>
      </c>
      <c r="AD32">
        <v>0.72</v>
      </c>
      <c r="AE32">
        <v>-8.9700000000000006</v>
      </c>
      <c r="AF32">
        <v>0.85</v>
      </c>
      <c r="AG32">
        <v>11.57</v>
      </c>
      <c r="AH32">
        <v>6666.69</v>
      </c>
      <c r="AI32">
        <v>35.81</v>
      </c>
      <c r="AJ32">
        <v>23.56</v>
      </c>
      <c r="AK32">
        <v>23.03</v>
      </c>
    </row>
    <row r="33" spans="1:37" x14ac:dyDescent="0.35">
      <c r="A33" t="s">
        <v>106</v>
      </c>
      <c r="B33" t="s">
        <v>107</v>
      </c>
      <c r="C33">
        <v>12</v>
      </c>
      <c r="D33" t="s">
        <v>72</v>
      </c>
      <c r="E33" t="s">
        <v>83</v>
      </c>
      <c r="F33">
        <v>0</v>
      </c>
      <c r="G33" t="s">
        <v>41</v>
      </c>
      <c r="H33">
        <v>8</v>
      </c>
      <c r="I33">
        <v>8</v>
      </c>
      <c r="J33" t="s">
        <v>42</v>
      </c>
      <c r="K33">
        <v>2</v>
      </c>
      <c r="L33">
        <v>0.47849999999999998</v>
      </c>
      <c r="M33">
        <v>50</v>
      </c>
      <c r="N33">
        <v>50</v>
      </c>
      <c r="O33">
        <v>0</v>
      </c>
      <c r="P33">
        <v>1</v>
      </c>
      <c r="Q33">
        <f t="shared" si="0"/>
        <v>0</v>
      </c>
      <c r="R33">
        <v>0</v>
      </c>
      <c r="S33">
        <v>50</v>
      </c>
      <c r="T33">
        <v>1</v>
      </c>
      <c r="U33">
        <v>2408400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30</v>
      </c>
      <c r="AC33">
        <v>21.87</v>
      </c>
      <c r="AD33">
        <v>0.72</v>
      </c>
      <c r="AE33">
        <v>-8.9700000000000006</v>
      </c>
      <c r="AF33">
        <v>0.86</v>
      </c>
      <c r="AG33">
        <v>11.64</v>
      </c>
      <c r="AH33">
        <v>6666.69</v>
      </c>
      <c r="AI33">
        <v>35.81</v>
      </c>
      <c r="AJ33">
        <v>23.57</v>
      </c>
      <c r="AK33">
        <v>23.02</v>
      </c>
    </row>
    <row r="34" spans="1:37" x14ac:dyDescent="0.35">
      <c r="A34" t="s">
        <v>108</v>
      </c>
      <c r="B34" t="s">
        <v>109</v>
      </c>
      <c r="C34">
        <v>2</v>
      </c>
      <c r="D34" t="s">
        <v>72</v>
      </c>
      <c r="E34" t="s">
        <v>40</v>
      </c>
      <c r="F34">
        <v>1</v>
      </c>
      <c r="G34" t="s">
        <v>41</v>
      </c>
      <c r="H34">
        <v>8</v>
      </c>
      <c r="I34">
        <v>8</v>
      </c>
      <c r="J34" t="s">
        <v>42</v>
      </c>
      <c r="K34">
        <v>2</v>
      </c>
      <c r="L34">
        <v>0.47849999999999998</v>
      </c>
      <c r="M34">
        <v>50</v>
      </c>
      <c r="N34">
        <v>12</v>
      </c>
      <c r="O34">
        <v>38</v>
      </c>
      <c r="P34">
        <v>4.17</v>
      </c>
      <c r="Q34">
        <f t="shared" si="0"/>
        <v>0.76</v>
      </c>
      <c r="R34">
        <v>2</v>
      </c>
      <c r="S34">
        <v>10</v>
      </c>
      <c r="T34">
        <v>0.83330000000000004</v>
      </c>
      <c r="U34">
        <v>578016</v>
      </c>
      <c r="V34">
        <v>96336</v>
      </c>
      <c r="W34">
        <v>16.670000000000002</v>
      </c>
      <c r="X34">
        <v>1.9300000000000001E-2</v>
      </c>
      <c r="Y34">
        <v>0</v>
      </c>
      <c r="Z34">
        <v>1927</v>
      </c>
      <c r="AA34">
        <v>2.0000000000000001E-4</v>
      </c>
      <c r="AB34">
        <v>30</v>
      </c>
      <c r="AC34">
        <v>21.87</v>
      </c>
      <c r="AD34">
        <v>0.72</v>
      </c>
      <c r="AE34">
        <v>-8.2799999999999994</v>
      </c>
      <c r="AF34">
        <v>0.68</v>
      </c>
      <c r="AG34">
        <v>4.88</v>
      </c>
      <c r="AH34">
        <v>6666.69</v>
      </c>
      <c r="AI34">
        <v>35.81</v>
      </c>
      <c r="AJ34">
        <v>21.62</v>
      </c>
      <c r="AK34">
        <v>20.87</v>
      </c>
    </row>
    <row r="35" spans="1:37" x14ac:dyDescent="0.35">
      <c r="A35" t="s">
        <v>110</v>
      </c>
      <c r="B35" t="s">
        <v>111</v>
      </c>
      <c r="C35">
        <v>2</v>
      </c>
      <c r="D35" t="s">
        <v>72</v>
      </c>
      <c r="E35" t="s">
        <v>40</v>
      </c>
      <c r="F35">
        <v>2</v>
      </c>
      <c r="G35" t="s">
        <v>41</v>
      </c>
      <c r="H35">
        <v>8</v>
      </c>
      <c r="I35">
        <v>8</v>
      </c>
      <c r="J35" t="s">
        <v>42</v>
      </c>
      <c r="K35">
        <v>2</v>
      </c>
      <c r="L35">
        <v>0.47849999999999998</v>
      </c>
      <c r="M35">
        <v>50</v>
      </c>
      <c r="N35">
        <v>13</v>
      </c>
      <c r="O35">
        <v>37</v>
      </c>
      <c r="P35">
        <v>3.85</v>
      </c>
      <c r="Q35">
        <f t="shared" si="0"/>
        <v>0.74</v>
      </c>
      <c r="R35">
        <v>2</v>
      </c>
      <c r="S35">
        <v>10</v>
      </c>
      <c r="T35">
        <v>0.76919999999999999</v>
      </c>
      <c r="U35">
        <v>626184</v>
      </c>
      <c r="V35">
        <v>96336</v>
      </c>
      <c r="W35">
        <v>15.38</v>
      </c>
      <c r="X35">
        <v>1.9300000000000001E-2</v>
      </c>
      <c r="Y35">
        <v>0</v>
      </c>
      <c r="Z35">
        <v>1927</v>
      </c>
      <c r="AA35">
        <v>2.0000000000000001E-4</v>
      </c>
      <c r="AB35">
        <v>30</v>
      </c>
      <c r="AC35">
        <v>21.87</v>
      </c>
      <c r="AD35">
        <v>0.72</v>
      </c>
      <c r="AE35">
        <v>-8.27</v>
      </c>
      <c r="AF35">
        <v>0.67</v>
      </c>
      <c r="AG35">
        <v>4.7300000000000004</v>
      </c>
      <c r="AH35">
        <v>6666.69</v>
      </c>
      <c r="AI35">
        <v>35.81</v>
      </c>
      <c r="AJ35">
        <v>21.63</v>
      </c>
      <c r="AK35">
        <v>20.83</v>
      </c>
    </row>
    <row r="36" spans="1:37" x14ac:dyDescent="0.35">
      <c r="A36" t="s">
        <v>112</v>
      </c>
      <c r="B36" t="s">
        <v>113</v>
      </c>
      <c r="C36">
        <v>2</v>
      </c>
      <c r="D36" t="s">
        <v>72</v>
      </c>
      <c r="E36" t="s">
        <v>40</v>
      </c>
      <c r="F36">
        <v>4</v>
      </c>
      <c r="G36" t="s">
        <v>41</v>
      </c>
      <c r="H36">
        <v>8</v>
      </c>
      <c r="I36">
        <v>8</v>
      </c>
      <c r="J36" t="s">
        <v>42</v>
      </c>
      <c r="K36">
        <v>2</v>
      </c>
      <c r="L36">
        <v>0.47849999999999998</v>
      </c>
      <c r="M36">
        <v>50</v>
      </c>
      <c r="N36">
        <v>14</v>
      </c>
      <c r="O36">
        <v>36</v>
      </c>
      <c r="P36">
        <v>3.57</v>
      </c>
      <c r="Q36">
        <f t="shared" si="0"/>
        <v>0.72</v>
      </c>
      <c r="R36">
        <v>2</v>
      </c>
      <c r="S36">
        <v>9</v>
      </c>
      <c r="T36">
        <v>0.64290000000000003</v>
      </c>
      <c r="U36">
        <v>674352</v>
      </c>
      <c r="V36">
        <v>96336</v>
      </c>
      <c r="W36">
        <v>14.29</v>
      </c>
      <c r="X36">
        <v>1.9300000000000001E-2</v>
      </c>
      <c r="Y36">
        <v>0</v>
      </c>
      <c r="Z36">
        <v>1927</v>
      </c>
      <c r="AA36">
        <v>2.0000000000000001E-4</v>
      </c>
      <c r="AB36">
        <v>30</v>
      </c>
      <c r="AC36">
        <v>21.87</v>
      </c>
      <c r="AD36">
        <v>0.72</v>
      </c>
      <c r="AE36">
        <v>-8.2799999999999994</v>
      </c>
      <c r="AF36">
        <v>0.68</v>
      </c>
      <c r="AG36">
        <v>4.51</v>
      </c>
      <c r="AH36">
        <v>6666.69</v>
      </c>
      <c r="AI36">
        <v>35.81</v>
      </c>
      <c r="AJ36">
        <v>21.63</v>
      </c>
      <c r="AK36">
        <v>20.84</v>
      </c>
    </row>
    <row r="37" spans="1:37" x14ac:dyDescent="0.35">
      <c r="A37" t="s">
        <v>114</v>
      </c>
      <c r="B37" t="s">
        <v>115</v>
      </c>
      <c r="C37">
        <v>2</v>
      </c>
      <c r="D37" t="s">
        <v>72</v>
      </c>
      <c r="E37" t="s">
        <v>40</v>
      </c>
      <c r="F37">
        <v>8</v>
      </c>
      <c r="G37" t="s">
        <v>41</v>
      </c>
      <c r="H37">
        <v>8</v>
      </c>
      <c r="I37">
        <v>8</v>
      </c>
      <c r="J37" t="s">
        <v>42</v>
      </c>
      <c r="K37">
        <v>2</v>
      </c>
      <c r="L37">
        <v>0.47849999999999998</v>
      </c>
      <c r="M37">
        <v>50</v>
      </c>
      <c r="N37">
        <v>15</v>
      </c>
      <c r="O37">
        <v>35</v>
      </c>
      <c r="P37">
        <v>3.33</v>
      </c>
      <c r="Q37">
        <f t="shared" si="0"/>
        <v>0.7</v>
      </c>
      <c r="R37">
        <v>0</v>
      </c>
      <c r="S37">
        <v>8</v>
      </c>
      <c r="T37">
        <v>0.5333</v>
      </c>
      <c r="U37">
        <v>722520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30</v>
      </c>
      <c r="AC37">
        <v>21.87</v>
      </c>
      <c r="AD37">
        <v>0.72</v>
      </c>
      <c r="AE37">
        <v>-8.2799999999999994</v>
      </c>
      <c r="AF37">
        <v>0.68</v>
      </c>
      <c r="AG37">
        <v>4.79</v>
      </c>
      <c r="AH37">
        <v>6666.69</v>
      </c>
      <c r="AI37">
        <v>35.81</v>
      </c>
      <c r="AJ37">
        <v>21.63</v>
      </c>
      <c r="AK37">
        <v>20.81</v>
      </c>
    </row>
    <row r="38" spans="1:37" x14ac:dyDescent="0.35">
      <c r="A38" t="s">
        <v>116</v>
      </c>
      <c r="B38" t="s">
        <v>117</v>
      </c>
      <c r="C38">
        <v>2</v>
      </c>
      <c r="D38" t="s">
        <v>72</v>
      </c>
      <c r="E38" t="s">
        <v>40</v>
      </c>
      <c r="F38">
        <v>16</v>
      </c>
      <c r="G38" t="s">
        <v>41</v>
      </c>
      <c r="H38">
        <v>8</v>
      </c>
      <c r="I38">
        <v>8</v>
      </c>
      <c r="J38" t="s">
        <v>42</v>
      </c>
      <c r="K38">
        <v>2</v>
      </c>
      <c r="L38">
        <v>0.47849999999999998</v>
      </c>
      <c r="M38">
        <v>50</v>
      </c>
      <c r="N38">
        <v>15</v>
      </c>
      <c r="O38">
        <v>35</v>
      </c>
      <c r="P38">
        <v>3.33</v>
      </c>
      <c r="Q38">
        <f t="shared" si="0"/>
        <v>0.7</v>
      </c>
      <c r="R38">
        <v>0</v>
      </c>
      <c r="S38">
        <v>0</v>
      </c>
      <c r="T38">
        <v>0</v>
      </c>
      <c r="U38">
        <v>722520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</v>
      </c>
      <c r="AC38">
        <v>21.87</v>
      </c>
      <c r="AD38">
        <v>0.72</v>
      </c>
      <c r="AE38">
        <v>-8.2799999999999994</v>
      </c>
      <c r="AF38">
        <v>0.67</v>
      </c>
      <c r="AG38">
        <v>5.38</v>
      </c>
      <c r="AH38">
        <v>6666.69</v>
      </c>
      <c r="AI38">
        <v>35.81</v>
      </c>
      <c r="AJ38">
        <v>21.63</v>
      </c>
      <c r="AK38">
        <v>20.84</v>
      </c>
    </row>
    <row r="39" spans="1:37" x14ac:dyDescent="0.35">
      <c r="A39" t="s">
        <v>118</v>
      </c>
      <c r="B39" t="s">
        <v>119</v>
      </c>
      <c r="C39">
        <v>2</v>
      </c>
      <c r="D39" t="s">
        <v>72</v>
      </c>
      <c r="E39" t="s">
        <v>83</v>
      </c>
      <c r="F39">
        <v>0</v>
      </c>
      <c r="G39" t="s">
        <v>41</v>
      </c>
      <c r="H39">
        <v>8</v>
      </c>
      <c r="I39">
        <v>8</v>
      </c>
      <c r="J39" t="s">
        <v>42</v>
      </c>
      <c r="K39">
        <v>2</v>
      </c>
      <c r="L39">
        <v>0.47849999999999998</v>
      </c>
      <c r="M39">
        <v>50</v>
      </c>
      <c r="N39">
        <v>50</v>
      </c>
      <c r="O39">
        <v>0</v>
      </c>
      <c r="P39">
        <v>1</v>
      </c>
      <c r="Q39">
        <f t="shared" si="0"/>
        <v>0</v>
      </c>
      <c r="R39">
        <v>0</v>
      </c>
      <c r="S39">
        <v>50</v>
      </c>
      <c r="T39">
        <v>1</v>
      </c>
      <c r="U39">
        <v>2408400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30</v>
      </c>
      <c r="AC39">
        <v>21.87</v>
      </c>
      <c r="AD39">
        <v>0.72</v>
      </c>
      <c r="AE39">
        <v>-8.2899999999999991</v>
      </c>
      <c r="AF39">
        <v>0.67</v>
      </c>
      <c r="AG39">
        <v>5.33</v>
      </c>
      <c r="AH39">
        <v>6666.69</v>
      </c>
      <c r="AI39">
        <v>35.81</v>
      </c>
      <c r="AJ39">
        <v>21.62</v>
      </c>
      <c r="AK39">
        <v>20.84</v>
      </c>
    </row>
    <row r="40" spans="1:37" x14ac:dyDescent="0.35">
      <c r="A40" t="s">
        <v>120</v>
      </c>
      <c r="B40" t="s">
        <v>121</v>
      </c>
      <c r="C40">
        <v>4</v>
      </c>
      <c r="D40" t="s">
        <v>72</v>
      </c>
      <c r="E40" t="s">
        <v>40</v>
      </c>
      <c r="F40">
        <v>1</v>
      </c>
      <c r="G40" t="s">
        <v>41</v>
      </c>
      <c r="H40">
        <v>8</v>
      </c>
      <c r="I40">
        <v>8</v>
      </c>
      <c r="J40" t="s">
        <v>42</v>
      </c>
      <c r="K40">
        <v>2</v>
      </c>
      <c r="L40">
        <v>0.47849999999999998</v>
      </c>
      <c r="M40">
        <v>50</v>
      </c>
      <c r="N40">
        <v>14</v>
      </c>
      <c r="O40">
        <v>36</v>
      </c>
      <c r="P40">
        <v>3.57</v>
      </c>
      <c r="Q40">
        <f t="shared" si="0"/>
        <v>0.72</v>
      </c>
      <c r="R40">
        <v>12</v>
      </c>
      <c r="S40">
        <v>2</v>
      </c>
      <c r="T40">
        <v>0.1429</v>
      </c>
      <c r="U40">
        <v>674352</v>
      </c>
      <c r="V40">
        <v>578016</v>
      </c>
      <c r="W40">
        <v>85.71</v>
      </c>
      <c r="X40">
        <v>0.1158</v>
      </c>
      <c r="Y40">
        <v>0.01</v>
      </c>
      <c r="Z40">
        <v>11560</v>
      </c>
      <c r="AA40">
        <v>1.1999999999999999E-3</v>
      </c>
      <c r="AB40">
        <v>30</v>
      </c>
      <c r="AC40">
        <v>21.87</v>
      </c>
      <c r="AD40">
        <v>0.72</v>
      </c>
      <c r="AE40">
        <v>-8.57</v>
      </c>
      <c r="AF40">
        <v>0.72</v>
      </c>
      <c r="AG40">
        <v>5.71</v>
      </c>
      <c r="AH40">
        <v>6666.69</v>
      </c>
      <c r="AI40">
        <v>35.81</v>
      </c>
      <c r="AJ40">
        <v>22.17</v>
      </c>
      <c r="AK40">
        <v>21.4</v>
      </c>
    </row>
    <row r="41" spans="1:37" x14ac:dyDescent="0.35">
      <c r="A41" t="s">
        <v>122</v>
      </c>
      <c r="B41" t="s">
        <v>123</v>
      </c>
      <c r="C41">
        <v>4</v>
      </c>
      <c r="D41" t="s">
        <v>72</v>
      </c>
      <c r="E41" t="s">
        <v>40</v>
      </c>
      <c r="F41">
        <v>2</v>
      </c>
      <c r="G41" t="s">
        <v>41</v>
      </c>
      <c r="H41">
        <v>8</v>
      </c>
      <c r="I41">
        <v>8</v>
      </c>
      <c r="J41" t="s">
        <v>42</v>
      </c>
      <c r="K41">
        <v>2</v>
      </c>
      <c r="L41">
        <v>0.47849999999999998</v>
      </c>
      <c r="M41">
        <v>50</v>
      </c>
      <c r="N41">
        <v>14</v>
      </c>
      <c r="O41">
        <v>36</v>
      </c>
      <c r="P41">
        <v>3.57</v>
      </c>
      <c r="Q41">
        <f t="shared" si="0"/>
        <v>0.72</v>
      </c>
      <c r="R41">
        <v>12</v>
      </c>
      <c r="S41">
        <v>1</v>
      </c>
      <c r="T41">
        <v>7.1400000000000005E-2</v>
      </c>
      <c r="U41">
        <v>674352</v>
      </c>
      <c r="V41">
        <v>578016</v>
      </c>
      <c r="W41">
        <v>85.71</v>
      </c>
      <c r="X41">
        <v>0.1158</v>
      </c>
      <c r="Y41">
        <v>0.01</v>
      </c>
      <c r="Z41">
        <v>11560</v>
      </c>
      <c r="AA41">
        <v>1.1999999999999999E-3</v>
      </c>
      <c r="AB41">
        <v>30</v>
      </c>
      <c r="AC41">
        <v>21.87</v>
      </c>
      <c r="AD41">
        <v>0.72</v>
      </c>
      <c r="AE41">
        <v>-8.57</v>
      </c>
      <c r="AF41">
        <v>0.72</v>
      </c>
      <c r="AG41">
        <v>6.05</v>
      </c>
      <c r="AH41">
        <v>6666.69</v>
      </c>
      <c r="AI41">
        <v>35.81</v>
      </c>
      <c r="AJ41">
        <v>22.13</v>
      </c>
      <c r="AK41">
        <v>21.41</v>
      </c>
    </row>
    <row r="42" spans="1:37" x14ac:dyDescent="0.35">
      <c r="A42" t="s">
        <v>124</v>
      </c>
      <c r="B42" t="s">
        <v>125</v>
      </c>
      <c r="C42">
        <v>4</v>
      </c>
      <c r="D42" t="s">
        <v>72</v>
      </c>
      <c r="E42" t="s">
        <v>40</v>
      </c>
      <c r="F42">
        <v>4</v>
      </c>
      <c r="G42" t="s">
        <v>41</v>
      </c>
      <c r="H42">
        <v>8</v>
      </c>
      <c r="I42">
        <v>8</v>
      </c>
      <c r="J42" t="s">
        <v>42</v>
      </c>
      <c r="K42">
        <v>2</v>
      </c>
      <c r="L42">
        <v>0.47849999999999998</v>
      </c>
      <c r="M42">
        <v>50</v>
      </c>
      <c r="N42">
        <v>15</v>
      </c>
      <c r="O42">
        <v>35</v>
      </c>
      <c r="P42">
        <v>3.33</v>
      </c>
      <c r="Q42">
        <f t="shared" si="0"/>
        <v>0.7</v>
      </c>
      <c r="R42">
        <v>12</v>
      </c>
      <c r="S42">
        <v>0</v>
      </c>
      <c r="T42">
        <v>0</v>
      </c>
      <c r="U42">
        <v>722520</v>
      </c>
      <c r="V42">
        <v>578016</v>
      </c>
      <c r="W42">
        <v>80</v>
      </c>
      <c r="X42">
        <v>0.1158</v>
      </c>
      <c r="Y42">
        <v>0.01</v>
      </c>
      <c r="Z42">
        <v>11560</v>
      </c>
      <c r="AA42">
        <v>1.1999999999999999E-3</v>
      </c>
      <c r="AB42">
        <v>30</v>
      </c>
      <c r="AC42">
        <v>21.87</v>
      </c>
      <c r="AD42">
        <v>0.72</v>
      </c>
      <c r="AE42">
        <v>-8.57</v>
      </c>
      <c r="AF42">
        <v>0.73</v>
      </c>
      <c r="AG42">
        <v>5.96</v>
      </c>
      <c r="AH42">
        <v>6666.69</v>
      </c>
      <c r="AI42">
        <v>35.81</v>
      </c>
      <c r="AJ42">
        <v>22.18</v>
      </c>
      <c r="AK42">
        <v>21.42</v>
      </c>
    </row>
    <row r="43" spans="1:37" x14ac:dyDescent="0.35">
      <c r="A43" t="s">
        <v>126</v>
      </c>
      <c r="B43" t="s">
        <v>127</v>
      </c>
      <c r="C43">
        <v>4</v>
      </c>
      <c r="D43" t="s">
        <v>72</v>
      </c>
      <c r="E43" t="s">
        <v>40</v>
      </c>
      <c r="F43">
        <v>8</v>
      </c>
      <c r="G43" t="s">
        <v>41</v>
      </c>
      <c r="H43">
        <v>8</v>
      </c>
      <c r="I43">
        <v>8</v>
      </c>
      <c r="J43" t="s">
        <v>42</v>
      </c>
      <c r="K43">
        <v>2</v>
      </c>
      <c r="L43">
        <v>0.47849999999999998</v>
      </c>
      <c r="M43">
        <v>50</v>
      </c>
      <c r="N43">
        <v>15</v>
      </c>
      <c r="O43">
        <v>35</v>
      </c>
      <c r="P43">
        <v>3.33</v>
      </c>
      <c r="Q43">
        <f t="shared" si="0"/>
        <v>0.7</v>
      </c>
      <c r="R43">
        <v>10</v>
      </c>
      <c r="S43">
        <v>0</v>
      </c>
      <c r="T43">
        <v>0</v>
      </c>
      <c r="U43">
        <v>722520</v>
      </c>
      <c r="V43">
        <v>481680</v>
      </c>
      <c r="W43">
        <v>66.67</v>
      </c>
      <c r="X43">
        <v>9.6500000000000002E-2</v>
      </c>
      <c r="Y43">
        <v>0.01</v>
      </c>
      <c r="Z43">
        <v>9634</v>
      </c>
      <c r="AA43">
        <v>1E-3</v>
      </c>
      <c r="AB43">
        <v>30</v>
      </c>
      <c r="AC43">
        <v>21.87</v>
      </c>
      <c r="AD43">
        <v>0.72</v>
      </c>
      <c r="AE43">
        <v>-8.58</v>
      </c>
      <c r="AF43">
        <v>0.73</v>
      </c>
      <c r="AG43">
        <v>5.91</v>
      </c>
      <c r="AH43">
        <v>6666.69</v>
      </c>
      <c r="AI43">
        <v>35.81</v>
      </c>
      <c r="AJ43">
        <v>22.15</v>
      </c>
      <c r="AK43">
        <v>21.39</v>
      </c>
    </row>
    <row r="44" spans="1:37" x14ac:dyDescent="0.35">
      <c r="A44" t="s">
        <v>128</v>
      </c>
      <c r="B44" t="s">
        <v>129</v>
      </c>
      <c r="C44">
        <v>4</v>
      </c>
      <c r="D44" t="s">
        <v>72</v>
      </c>
      <c r="E44" t="s">
        <v>40</v>
      </c>
      <c r="F44">
        <v>16</v>
      </c>
      <c r="G44" t="s">
        <v>41</v>
      </c>
      <c r="H44">
        <v>8</v>
      </c>
      <c r="I44">
        <v>8</v>
      </c>
      <c r="J44" t="s">
        <v>42</v>
      </c>
      <c r="K44">
        <v>2</v>
      </c>
      <c r="L44">
        <v>0.47849999999999998</v>
      </c>
      <c r="M44">
        <v>50</v>
      </c>
      <c r="N44">
        <v>18</v>
      </c>
      <c r="O44">
        <v>32</v>
      </c>
      <c r="P44">
        <v>2.78</v>
      </c>
      <c r="Q44">
        <f t="shared" si="0"/>
        <v>0.64</v>
      </c>
      <c r="R44">
        <v>8</v>
      </c>
      <c r="S44">
        <v>0</v>
      </c>
      <c r="T44">
        <v>0</v>
      </c>
      <c r="U44">
        <v>867024</v>
      </c>
      <c r="V44">
        <v>385344</v>
      </c>
      <c r="W44">
        <v>44.44</v>
      </c>
      <c r="X44">
        <v>7.7200000000000005E-2</v>
      </c>
      <c r="Y44">
        <v>0.01</v>
      </c>
      <c r="Z44">
        <v>7707</v>
      </c>
      <c r="AA44">
        <v>8.0000000000000004E-4</v>
      </c>
      <c r="AB44">
        <v>30</v>
      </c>
      <c r="AC44">
        <v>21.87</v>
      </c>
      <c r="AD44">
        <v>0.72</v>
      </c>
      <c r="AE44">
        <v>-8.58</v>
      </c>
      <c r="AF44">
        <v>0.72</v>
      </c>
      <c r="AG44">
        <v>6.66</v>
      </c>
      <c r="AH44">
        <v>6666.69</v>
      </c>
      <c r="AI44">
        <v>35.81</v>
      </c>
      <c r="AJ44">
        <v>22.15</v>
      </c>
      <c r="AK44">
        <v>21.41</v>
      </c>
    </row>
    <row r="45" spans="1:37" x14ac:dyDescent="0.35">
      <c r="A45" t="s">
        <v>130</v>
      </c>
      <c r="B45" t="s">
        <v>131</v>
      </c>
      <c r="C45">
        <v>4</v>
      </c>
      <c r="D45" t="s">
        <v>72</v>
      </c>
      <c r="E45" t="s">
        <v>83</v>
      </c>
      <c r="F45">
        <v>0</v>
      </c>
      <c r="G45" t="s">
        <v>41</v>
      </c>
      <c r="H45">
        <v>8</v>
      </c>
      <c r="I45">
        <v>8</v>
      </c>
      <c r="J45" t="s">
        <v>42</v>
      </c>
      <c r="K45">
        <v>2</v>
      </c>
      <c r="L45">
        <v>0.47849999999999998</v>
      </c>
      <c r="M45">
        <v>50</v>
      </c>
      <c r="N45">
        <v>50</v>
      </c>
      <c r="O45">
        <v>0</v>
      </c>
      <c r="P45">
        <v>1</v>
      </c>
      <c r="Q45">
        <f t="shared" si="0"/>
        <v>0</v>
      </c>
      <c r="R45">
        <v>0</v>
      </c>
      <c r="S45">
        <v>50</v>
      </c>
      <c r="T45">
        <v>1</v>
      </c>
      <c r="U45">
        <v>2408400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30</v>
      </c>
      <c r="AC45">
        <v>21.87</v>
      </c>
      <c r="AD45">
        <v>0.72</v>
      </c>
      <c r="AE45">
        <v>-8.58</v>
      </c>
      <c r="AF45">
        <v>0.72</v>
      </c>
      <c r="AG45">
        <v>6.56</v>
      </c>
      <c r="AH45">
        <v>6666.69</v>
      </c>
      <c r="AI45">
        <v>35.81</v>
      </c>
      <c r="AJ45">
        <v>22.15</v>
      </c>
      <c r="AK45">
        <v>21.41</v>
      </c>
    </row>
    <row r="46" spans="1:37" x14ac:dyDescent="0.35">
      <c r="A46" t="s">
        <v>132</v>
      </c>
      <c r="B46" t="s">
        <v>133</v>
      </c>
      <c r="C46">
        <v>6</v>
      </c>
      <c r="D46" t="s">
        <v>72</v>
      </c>
      <c r="E46" t="s">
        <v>40</v>
      </c>
      <c r="F46">
        <v>1</v>
      </c>
      <c r="G46" t="s">
        <v>41</v>
      </c>
      <c r="H46">
        <v>8</v>
      </c>
      <c r="I46">
        <v>8</v>
      </c>
      <c r="J46" t="s">
        <v>42</v>
      </c>
      <c r="K46">
        <v>2</v>
      </c>
      <c r="L46">
        <v>0.47849999999999998</v>
      </c>
      <c r="M46">
        <v>50</v>
      </c>
      <c r="N46">
        <v>21</v>
      </c>
      <c r="O46">
        <v>29</v>
      </c>
      <c r="P46">
        <v>2.38</v>
      </c>
      <c r="Q46">
        <f t="shared" si="0"/>
        <v>0.57999999999999996</v>
      </c>
      <c r="R46">
        <v>21</v>
      </c>
      <c r="S46">
        <v>0</v>
      </c>
      <c r="T46">
        <v>0</v>
      </c>
      <c r="U46">
        <v>1011528</v>
      </c>
      <c r="V46">
        <v>1011528</v>
      </c>
      <c r="W46">
        <v>100</v>
      </c>
      <c r="X46">
        <v>0.2026</v>
      </c>
      <c r="Y46">
        <v>0.02</v>
      </c>
      <c r="Z46">
        <v>20231</v>
      </c>
      <c r="AA46">
        <v>2.2000000000000001E-3</v>
      </c>
      <c r="AB46">
        <v>30</v>
      </c>
      <c r="AC46">
        <v>21.87</v>
      </c>
      <c r="AD46">
        <v>0.72</v>
      </c>
      <c r="AE46">
        <v>-8.76</v>
      </c>
      <c r="AF46">
        <v>0.76</v>
      </c>
      <c r="AG46">
        <v>6.91</v>
      </c>
      <c r="AH46">
        <v>6666.69</v>
      </c>
      <c r="AI46">
        <v>35.81</v>
      </c>
      <c r="AJ46">
        <v>22.62</v>
      </c>
      <c r="AK46">
        <v>21.97</v>
      </c>
    </row>
    <row r="47" spans="1:37" x14ac:dyDescent="0.35">
      <c r="A47" t="s">
        <v>134</v>
      </c>
      <c r="B47" t="s">
        <v>135</v>
      </c>
      <c r="C47">
        <v>6</v>
      </c>
      <c r="D47" t="s">
        <v>72</v>
      </c>
      <c r="E47" t="s">
        <v>40</v>
      </c>
      <c r="F47">
        <v>2</v>
      </c>
      <c r="G47" t="s">
        <v>41</v>
      </c>
      <c r="H47">
        <v>8</v>
      </c>
      <c r="I47">
        <v>8</v>
      </c>
      <c r="J47" t="s">
        <v>42</v>
      </c>
      <c r="K47">
        <v>2</v>
      </c>
      <c r="L47">
        <v>0.47849999999999998</v>
      </c>
      <c r="M47">
        <v>50</v>
      </c>
      <c r="N47">
        <v>21</v>
      </c>
      <c r="O47">
        <v>29</v>
      </c>
      <c r="P47">
        <v>2.38</v>
      </c>
      <c r="Q47">
        <f t="shared" si="0"/>
        <v>0.57999999999999996</v>
      </c>
      <c r="R47">
        <v>20</v>
      </c>
      <c r="S47">
        <v>0</v>
      </c>
      <c r="T47">
        <v>0</v>
      </c>
      <c r="U47">
        <v>1011528</v>
      </c>
      <c r="V47">
        <v>963360</v>
      </c>
      <c r="W47">
        <v>95.24</v>
      </c>
      <c r="X47">
        <v>0.193</v>
      </c>
      <c r="Y47">
        <v>0.02</v>
      </c>
      <c r="Z47">
        <v>19267</v>
      </c>
      <c r="AA47">
        <v>2.0999999999999999E-3</v>
      </c>
      <c r="AB47">
        <v>30</v>
      </c>
      <c r="AC47">
        <v>21.87</v>
      </c>
      <c r="AD47">
        <v>0.72</v>
      </c>
      <c r="AE47">
        <v>-8.76</v>
      </c>
      <c r="AF47">
        <v>0.77</v>
      </c>
      <c r="AG47">
        <v>7.53</v>
      </c>
      <c r="AH47">
        <v>6666.69</v>
      </c>
      <c r="AI47">
        <v>35.81</v>
      </c>
      <c r="AJ47">
        <v>22.62</v>
      </c>
      <c r="AK47">
        <v>21.96</v>
      </c>
    </row>
    <row r="48" spans="1:37" x14ac:dyDescent="0.35">
      <c r="A48" t="s">
        <v>136</v>
      </c>
      <c r="B48" t="s">
        <v>137</v>
      </c>
      <c r="C48">
        <v>6</v>
      </c>
      <c r="D48" t="s">
        <v>72</v>
      </c>
      <c r="E48" t="s">
        <v>40</v>
      </c>
      <c r="F48">
        <v>4</v>
      </c>
      <c r="G48" t="s">
        <v>41</v>
      </c>
      <c r="H48">
        <v>8</v>
      </c>
      <c r="I48">
        <v>8</v>
      </c>
      <c r="J48" t="s">
        <v>42</v>
      </c>
      <c r="K48">
        <v>2</v>
      </c>
      <c r="L48">
        <v>0.47849999999999998</v>
      </c>
      <c r="M48">
        <v>50</v>
      </c>
      <c r="N48">
        <v>22</v>
      </c>
      <c r="O48">
        <v>28</v>
      </c>
      <c r="P48">
        <v>2.27</v>
      </c>
      <c r="Q48">
        <f t="shared" si="0"/>
        <v>0.56000000000000005</v>
      </c>
      <c r="R48">
        <v>20</v>
      </c>
      <c r="S48">
        <v>0</v>
      </c>
      <c r="T48">
        <v>0</v>
      </c>
      <c r="U48">
        <v>1059696</v>
      </c>
      <c r="V48">
        <v>963360</v>
      </c>
      <c r="W48">
        <v>90.91</v>
      </c>
      <c r="X48">
        <v>0.193</v>
      </c>
      <c r="Y48">
        <v>0.02</v>
      </c>
      <c r="Z48">
        <v>19267</v>
      </c>
      <c r="AA48">
        <v>2.0999999999999999E-3</v>
      </c>
      <c r="AB48">
        <v>30</v>
      </c>
      <c r="AC48">
        <v>21.87</v>
      </c>
      <c r="AD48">
        <v>0.72</v>
      </c>
      <c r="AE48">
        <v>-8.77</v>
      </c>
      <c r="AF48">
        <v>0.76</v>
      </c>
      <c r="AG48">
        <v>7.56</v>
      </c>
      <c r="AH48">
        <v>6666.69</v>
      </c>
      <c r="AI48">
        <v>35.81</v>
      </c>
      <c r="AJ48">
        <v>22.63</v>
      </c>
      <c r="AK48">
        <v>21.93</v>
      </c>
    </row>
    <row r="49" spans="1:37" x14ac:dyDescent="0.35">
      <c r="A49" t="s">
        <v>138</v>
      </c>
      <c r="B49" t="s">
        <v>139</v>
      </c>
      <c r="C49">
        <v>6</v>
      </c>
      <c r="D49" t="s">
        <v>72</v>
      </c>
      <c r="E49" t="s">
        <v>40</v>
      </c>
      <c r="F49">
        <v>8</v>
      </c>
      <c r="G49" t="s">
        <v>41</v>
      </c>
      <c r="H49">
        <v>8</v>
      </c>
      <c r="I49">
        <v>8</v>
      </c>
      <c r="J49" t="s">
        <v>42</v>
      </c>
      <c r="K49">
        <v>2</v>
      </c>
      <c r="L49">
        <v>0.47849999999999998</v>
      </c>
      <c r="M49">
        <v>50</v>
      </c>
      <c r="N49">
        <v>23</v>
      </c>
      <c r="O49">
        <v>27</v>
      </c>
      <c r="P49">
        <v>2.17</v>
      </c>
      <c r="Q49">
        <f t="shared" si="0"/>
        <v>0.54</v>
      </c>
      <c r="R49">
        <v>18</v>
      </c>
      <c r="S49">
        <v>0</v>
      </c>
      <c r="T49">
        <v>0</v>
      </c>
      <c r="U49">
        <v>1107864</v>
      </c>
      <c r="V49">
        <v>867024</v>
      </c>
      <c r="W49">
        <v>78.260000000000005</v>
      </c>
      <c r="X49">
        <v>0.17369999999999999</v>
      </c>
      <c r="Y49">
        <v>0.02</v>
      </c>
      <c r="Z49">
        <v>17340</v>
      </c>
      <c r="AA49">
        <v>1.9E-3</v>
      </c>
      <c r="AB49">
        <v>30</v>
      </c>
      <c r="AC49">
        <v>21.87</v>
      </c>
      <c r="AD49">
        <v>0.72</v>
      </c>
      <c r="AE49">
        <v>-8.77</v>
      </c>
      <c r="AF49">
        <v>0.76</v>
      </c>
      <c r="AG49">
        <v>7.29</v>
      </c>
      <c r="AH49">
        <v>6666.69</v>
      </c>
      <c r="AI49">
        <v>35.81</v>
      </c>
      <c r="AJ49">
        <v>22.63</v>
      </c>
      <c r="AK49">
        <v>21.92</v>
      </c>
    </row>
    <row r="50" spans="1:37" x14ac:dyDescent="0.35">
      <c r="A50" t="s">
        <v>140</v>
      </c>
      <c r="B50" t="s">
        <v>141</v>
      </c>
      <c r="C50">
        <v>6</v>
      </c>
      <c r="D50" t="s">
        <v>72</v>
      </c>
      <c r="E50" t="s">
        <v>40</v>
      </c>
      <c r="F50">
        <v>16</v>
      </c>
      <c r="G50" t="s">
        <v>41</v>
      </c>
      <c r="H50">
        <v>8</v>
      </c>
      <c r="I50">
        <v>8</v>
      </c>
      <c r="J50" t="s">
        <v>42</v>
      </c>
      <c r="K50">
        <v>2</v>
      </c>
      <c r="L50">
        <v>0.47849999999999998</v>
      </c>
      <c r="M50">
        <v>50</v>
      </c>
      <c r="N50">
        <v>30</v>
      </c>
      <c r="O50">
        <v>20</v>
      </c>
      <c r="P50">
        <v>1.67</v>
      </c>
      <c r="Q50">
        <f t="shared" si="0"/>
        <v>0.4</v>
      </c>
      <c r="R50">
        <v>16</v>
      </c>
      <c r="S50">
        <v>0</v>
      </c>
      <c r="T50">
        <v>0</v>
      </c>
      <c r="U50">
        <v>1445040</v>
      </c>
      <c r="V50">
        <v>770688</v>
      </c>
      <c r="W50">
        <v>53.33</v>
      </c>
      <c r="X50">
        <v>0.15440000000000001</v>
      </c>
      <c r="Y50">
        <v>0.02</v>
      </c>
      <c r="Z50">
        <v>15414</v>
      </c>
      <c r="AA50">
        <v>1.6000000000000001E-3</v>
      </c>
      <c r="AB50">
        <v>30</v>
      </c>
      <c r="AC50">
        <v>21.87</v>
      </c>
      <c r="AD50">
        <v>0.72</v>
      </c>
      <c r="AE50">
        <v>-8.77</v>
      </c>
      <c r="AF50">
        <v>0.76</v>
      </c>
      <c r="AG50">
        <v>7.98</v>
      </c>
      <c r="AH50">
        <v>6666.69</v>
      </c>
      <c r="AI50">
        <v>35.81</v>
      </c>
      <c r="AJ50">
        <v>22.6</v>
      </c>
      <c r="AK50">
        <v>21.95</v>
      </c>
    </row>
    <row r="51" spans="1:37" x14ac:dyDescent="0.35">
      <c r="A51" t="s">
        <v>142</v>
      </c>
      <c r="B51" t="s">
        <v>143</v>
      </c>
      <c r="C51">
        <v>6</v>
      </c>
      <c r="D51" t="s">
        <v>72</v>
      </c>
      <c r="E51" t="s">
        <v>83</v>
      </c>
      <c r="F51">
        <v>0</v>
      </c>
      <c r="G51" t="s">
        <v>41</v>
      </c>
      <c r="H51">
        <v>8</v>
      </c>
      <c r="I51">
        <v>8</v>
      </c>
      <c r="J51" t="s">
        <v>42</v>
      </c>
      <c r="K51">
        <v>2</v>
      </c>
      <c r="L51">
        <v>0.47849999999999998</v>
      </c>
      <c r="M51">
        <v>50</v>
      </c>
      <c r="N51">
        <v>50</v>
      </c>
      <c r="O51">
        <v>0</v>
      </c>
      <c r="P51">
        <v>1</v>
      </c>
      <c r="Q51">
        <f t="shared" si="0"/>
        <v>0</v>
      </c>
      <c r="R51">
        <v>0</v>
      </c>
      <c r="S51">
        <v>50</v>
      </c>
      <c r="T51">
        <v>1</v>
      </c>
      <c r="U51">
        <v>2408400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</v>
      </c>
      <c r="AC51">
        <v>21.87</v>
      </c>
      <c r="AD51">
        <v>0.72</v>
      </c>
      <c r="AE51">
        <v>-8.7799999999999994</v>
      </c>
      <c r="AF51">
        <v>0.76</v>
      </c>
      <c r="AG51">
        <v>8.1199999999999992</v>
      </c>
      <c r="AH51">
        <v>6666.69</v>
      </c>
      <c r="AI51">
        <v>35.81</v>
      </c>
      <c r="AJ51">
        <v>22.61</v>
      </c>
      <c r="AK51">
        <v>21.95</v>
      </c>
    </row>
    <row r="52" spans="1:37" x14ac:dyDescent="0.35">
      <c r="A52" t="s">
        <v>144</v>
      </c>
      <c r="B52" t="s">
        <v>145</v>
      </c>
      <c r="C52">
        <v>8</v>
      </c>
      <c r="D52" t="s">
        <v>72</v>
      </c>
      <c r="E52" t="s">
        <v>40</v>
      </c>
      <c r="F52">
        <v>1</v>
      </c>
      <c r="G52" t="s">
        <v>41</v>
      </c>
      <c r="H52">
        <v>8</v>
      </c>
      <c r="I52">
        <v>8</v>
      </c>
      <c r="J52" t="s">
        <v>42</v>
      </c>
      <c r="K52">
        <v>2</v>
      </c>
      <c r="L52">
        <v>0.47849999999999998</v>
      </c>
      <c r="M52">
        <v>50</v>
      </c>
      <c r="N52">
        <v>25</v>
      </c>
      <c r="O52">
        <v>25</v>
      </c>
      <c r="P52">
        <v>2</v>
      </c>
      <c r="Q52">
        <f t="shared" si="0"/>
        <v>0.5</v>
      </c>
      <c r="R52">
        <v>25</v>
      </c>
      <c r="S52">
        <v>0</v>
      </c>
      <c r="T52">
        <v>0</v>
      </c>
      <c r="U52">
        <v>1204200</v>
      </c>
      <c r="V52">
        <v>1204200</v>
      </c>
      <c r="W52">
        <v>100</v>
      </c>
      <c r="X52">
        <v>0.2412</v>
      </c>
      <c r="Y52">
        <v>0.02</v>
      </c>
      <c r="Z52">
        <v>24084</v>
      </c>
      <c r="AA52">
        <v>2.5999999999999999E-3</v>
      </c>
      <c r="AB52">
        <v>30</v>
      </c>
      <c r="AC52">
        <v>21.87</v>
      </c>
      <c r="AD52">
        <v>0.72</v>
      </c>
      <c r="AE52">
        <v>-8.89</v>
      </c>
      <c r="AF52">
        <v>0.79</v>
      </c>
      <c r="AG52">
        <v>8.15</v>
      </c>
      <c r="AH52">
        <v>6666.69</v>
      </c>
      <c r="AI52">
        <v>35.81</v>
      </c>
      <c r="AJ52">
        <v>23.03</v>
      </c>
      <c r="AK52">
        <v>22.44</v>
      </c>
    </row>
    <row r="53" spans="1:37" x14ac:dyDescent="0.35">
      <c r="A53" t="s">
        <v>146</v>
      </c>
      <c r="B53" t="s">
        <v>147</v>
      </c>
      <c r="C53">
        <v>8</v>
      </c>
      <c r="D53" t="s">
        <v>72</v>
      </c>
      <c r="E53" t="s">
        <v>40</v>
      </c>
      <c r="F53">
        <v>2</v>
      </c>
      <c r="G53" t="s">
        <v>41</v>
      </c>
      <c r="H53">
        <v>8</v>
      </c>
      <c r="I53">
        <v>8</v>
      </c>
      <c r="J53" t="s">
        <v>42</v>
      </c>
      <c r="K53">
        <v>2</v>
      </c>
      <c r="L53">
        <v>0.47849999999999998</v>
      </c>
      <c r="M53">
        <v>50</v>
      </c>
      <c r="N53">
        <v>25</v>
      </c>
      <c r="O53">
        <v>25</v>
      </c>
      <c r="P53">
        <v>2</v>
      </c>
      <c r="Q53">
        <f t="shared" si="0"/>
        <v>0.5</v>
      </c>
      <c r="R53">
        <v>24</v>
      </c>
      <c r="S53">
        <v>0</v>
      </c>
      <c r="T53">
        <v>0</v>
      </c>
      <c r="U53">
        <v>1204200</v>
      </c>
      <c r="V53">
        <v>1156032</v>
      </c>
      <c r="W53">
        <v>96</v>
      </c>
      <c r="X53">
        <v>0.2316</v>
      </c>
      <c r="Y53">
        <v>0.02</v>
      </c>
      <c r="Z53">
        <v>23121</v>
      </c>
      <c r="AA53">
        <v>2.5000000000000001E-3</v>
      </c>
      <c r="AB53">
        <v>30</v>
      </c>
      <c r="AC53">
        <v>21.87</v>
      </c>
      <c r="AD53">
        <v>0.72</v>
      </c>
      <c r="AE53">
        <v>-8.9</v>
      </c>
      <c r="AF53">
        <v>0.8</v>
      </c>
      <c r="AG53">
        <v>8.82</v>
      </c>
      <c r="AH53">
        <v>6666.69</v>
      </c>
      <c r="AI53">
        <v>35.81</v>
      </c>
      <c r="AJ53">
        <v>23</v>
      </c>
      <c r="AK53">
        <v>22.42</v>
      </c>
    </row>
    <row r="54" spans="1:37" x14ac:dyDescent="0.35">
      <c r="A54" t="s">
        <v>148</v>
      </c>
      <c r="B54" t="s">
        <v>149</v>
      </c>
      <c r="C54">
        <v>8</v>
      </c>
      <c r="D54" t="s">
        <v>72</v>
      </c>
      <c r="E54" t="s">
        <v>40</v>
      </c>
      <c r="F54">
        <v>4</v>
      </c>
      <c r="G54" t="s">
        <v>41</v>
      </c>
      <c r="H54">
        <v>8</v>
      </c>
      <c r="I54">
        <v>8</v>
      </c>
      <c r="J54" t="s">
        <v>42</v>
      </c>
      <c r="K54">
        <v>2</v>
      </c>
      <c r="L54">
        <v>0.47849999999999998</v>
      </c>
      <c r="M54">
        <v>50</v>
      </c>
      <c r="N54">
        <v>26</v>
      </c>
      <c r="O54">
        <v>24</v>
      </c>
      <c r="P54">
        <v>1.92</v>
      </c>
      <c r="Q54">
        <f t="shared" si="0"/>
        <v>0.48</v>
      </c>
      <c r="R54">
        <v>24</v>
      </c>
      <c r="S54">
        <v>0</v>
      </c>
      <c r="T54">
        <v>0</v>
      </c>
      <c r="U54">
        <v>1252368</v>
      </c>
      <c r="V54">
        <v>1156032</v>
      </c>
      <c r="W54">
        <v>92.31</v>
      </c>
      <c r="X54">
        <v>0.2316</v>
      </c>
      <c r="Y54">
        <v>0.02</v>
      </c>
      <c r="Z54">
        <v>23121</v>
      </c>
      <c r="AA54">
        <v>2.5000000000000001E-3</v>
      </c>
      <c r="AB54">
        <v>30</v>
      </c>
      <c r="AC54">
        <v>21.87</v>
      </c>
      <c r="AD54">
        <v>0.72</v>
      </c>
      <c r="AE54">
        <v>-8.9</v>
      </c>
      <c r="AF54">
        <v>0.79</v>
      </c>
      <c r="AG54">
        <v>9.8000000000000007</v>
      </c>
      <c r="AH54">
        <v>6666.69</v>
      </c>
      <c r="AI54">
        <v>35.81</v>
      </c>
      <c r="AJ54">
        <v>23.02</v>
      </c>
      <c r="AK54">
        <v>22.45</v>
      </c>
    </row>
    <row r="55" spans="1:37" x14ac:dyDescent="0.35">
      <c r="A55" t="s">
        <v>150</v>
      </c>
      <c r="B55" t="s">
        <v>151</v>
      </c>
      <c r="C55">
        <v>8</v>
      </c>
      <c r="D55" t="s">
        <v>72</v>
      </c>
      <c r="E55" t="s">
        <v>40</v>
      </c>
      <c r="F55">
        <v>8</v>
      </c>
      <c r="G55" t="s">
        <v>41</v>
      </c>
      <c r="H55">
        <v>8</v>
      </c>
      <c r="I55">
        <v>8</v>
      </c>
      <c r="J55" t="s">
        <v>42</v>
      </c>
      <c r="K55">
        <v>2</v>
      </c>
      <c r="L55">
        <v>0.47849999999999998</v>
      </c>
      <c r="M55">
        <v>50</v>
      </c>
      <c r="N55">
        <v>26</v>
      </c>
      <c r="O55">
        <v>24</v>
      </c>
      <c r="P55">
        <v>1.92</v>
      </c>
      <c r="Q55">
        <f t="shared" si="0"/>
        <v>0.48</v>
      </c>
      <c r="R55">
        <v>24</v>
      </c>
      <c r="S55">
        <v>0</v>
      </c>
      <c r="T55">
        <v>0</v>
      </c>
      <c r="U55">
        <v>1252368</v>
      </c>
      <c r="V55">
        <v>1156032</v>
      </c>
      <c r="W55">
        <v>92.31</v>
      </c>
      <c r="X55">
        <v>0.2316</v>
      </c>
      <c r="Y55">
        <v>0.02</v>
      </c>
      <c r="Z55">
        <v>23121</v>
      </c>
      <c r="AA55">
        <v>2.5000000000000001E-3</v>
      </c>
      <c r="AB55">
        <v>30</v>
      </c>
      <c r="AC55">
        <v>21.87</v>
      </c>
      <c r="AD55">
        <v>0.72</v>
      </c>
      <c r="AE55">
        <v>-8.9</v>
      </c>
      <c r="AF55">
        <v>0.78</v>
      </c>
      <c r="AG55">
        <v>9.57</v>
      </c>
      <c r="AH55">
        <v>6666.69</v>
      </c>
      <c r="AI55">
        <v>35.81</v>
      </c>
      <c r="AJ55">
        <v>23.01</v>
      </c>
      <c r="AK55">
        <v>22.42</v>
      </c>
    </row>
    <row r="56" spans="1:37" x14ac:dyDescent="0.35">
      <c r="A56" t="s">
        <v>152</v>
      </c>
      <c r="B56" t="s">
        <v>153</v>
      </c>
      <c r="C56">
        <v>8</v>
      </c>
      <c r="D56" t="s">
        <v>72</v>
      </c>
      <c r="E56" t="s">
        <v>40</v>
      </c>
      <c r="F56">
        <v>16</v>
      </c>
      <c r="G56" t="s">
        <v>41</v>
      </c>
      <c r="H56">
        <v>8</v>
      </c>
      <c r="I56">
        <v>8</v>
      </c>
      <c r="J56" t="s">
        <v>42</v>
      </c>
      <c r="K56">
        <v>2</v>
      </c>
      <c r="L56">
        <v>0.47849999999999998</v>
      </c>
      <c r="M56">
        <v>50</v>
      </c>
      <c r="N56">
        <v>31</v>
      </c>
      <c r="O56">
        <v>19</v>
      </c>
      <c r="P56">
        <v>1.61</v>
      </c>
      <c r="Q56">
        <f t="shared" si="0"/>
        <v>0.38</v>
      </c>
      <c r="R56">
        <v>18</v>
      </c>
      <c r="S56">
        <v>0</v>
      </c>
      <c r="T56">
        <v>0</v>
      </c>
      <c r="U56">
        <v>1493208</v>
      </c>
      <c r="V56">
        <v>867024</v>
      </c>
      <c r="W56">
        <v>58.06</v>
      </c>
      <c r="X56">
        <v>0.17369999999999999</v>
      </c>
      <c r="Y56">
        <v>0.02</v>
      </c>
      <c r="Z56">
        <v>17340</v>
      </c>
      <c r="AA56">
        <v>1.9E-3</v>
      </c>
      <c r="AB56">
        <v>30</v>
      </c>
      <c r="AC56">
        <v>21.87</v>
      </c>
      <c r="AD56">
        <v>0.72</v>
      </c>
      <c r="AE56">
        <v>-8.9</v>
      </c>
      <c r="AF56">
        <v>0.78</v>
      </c>
      <c r="AG56">
        <v>9.9</v>
      </c>
      <c r="AH56">
        <v>6666.69</v>
      </c>
      <c r="AI56">
        <v>35.81</v>
      </c>
      <c r="AJ56">
        <v>22.99</v>
      </c>
      <c r="AK56">
        <v>22.42</v>
      </c>
    </row>
    <row r="57" spans="1:37" x14ac:dyDescent="0.35">
      <c r="A57" t="s">
        <v>154</v>
      </c>
      <c r="B57" t="s">
        <v>155</v>
      </c>
      <c r="C57">
        <v>8</v>
      </c>
      <c r="D57" t="s">
        <v>72</v>
      </c>
      <c r="E57" t="s">
        <v>83</v>
      </c>
      <c r="F57">
        <v>0</v>
      </c>
      <c r="G57" t="s">
        <v>41</v>
      </c>
      <c r="H57">
        <v>8</v>
      </c>
      <c r="I57">
        <v>8</v>
      </c>
      <c r="J57" t="s">
        <v>42</v>
      </c>
      <c r="K57">
        <v>2</v>
      </c>
      <c r="L57">
        <v>0.47849999999999998</v>
      </c>
      <c r="M57">
        <v>50</v>
      </c>
      <c r="N57">
        <v>50</v>
      </c>
      <c r="O57">
        <v>0</v>
      </c>
      <c r="P57">
        <v>1</v>
      </c>
      <c r="Q57">
        <f t="shared" si="0"/>
        <v>0</v>
      </c>
      <c r="R57">
        <v>0</v>
      </c>
      <c r="S57">
        <v>50</v>
      </c>
      <c r="T57">
        <v>1</v>
      </c>
      <c r="U57">
        <v>2408400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30</v>
      </c>
      <c r="AC57">
        <v>21.87</v>
      </c>
      <c r="AD57">
        <v>0.72</v>
      </c>
      <c r="AE57">
        <v>-8.91</v>
      </c>
      <c r="AF57">
        <v>0.79</v>
      </c>
      <c r="AG57">
        <v>10.28</v>
      </c>
      <c r="AH57">
        <v>6666.69</v>
      </c>
      <c r="AI57">
        <v>35.81</v>
      </c>
      <c r="AJ57">
        <v>23</v>
      </c>
      <c r="AK57">
        <v>22.42</v>
      </c>
    </row>
    <row r="58" spans="1:37" x14ac:dyDescent="0.35">
      <c r="A58" t="s">
        <v>156</v>
      </c>
      <c r="B58" t="s">
        <v>157</v>
      </c>
      <c r="C58">
        <v>0</v>
      </c>
      <c r="D58" t="s">
        <v>158</v>
      </c>
      <c r="E58" t="s">
        <v>40</v>
      </c>
      <c r="F58">
        <v>1</v>
      </c>
      <c r="G58" t="s">
        <v>41</v>
      </c>
      <c r="H58">
        <v>8</v>
      </c>
      <c r="I58">
        <v>8</v>
      </c>
      <c r="J58" t="s">
        <v>42</v>
      </c>
      <c r="K58">
        <v>2</v>
      </c>
      <c r="L58">
        <v>0.47849999999999998</v>
      </c>
      <c r="M58">
        <v>50</v>
      </c>
      <c r="N58">
        <v>12</v>
      </c>
      <c r="O58">
        <v>38</v>
      </c>
      <c r="P58">
        <v>4.17</v>
      </c>
      <c r="Q58">
        <f t="shared" si="0"/>
        <v>0.76</v>
      </c>
      <c r="R58">
        <v>0</v>
      </c>
      <c r="S58">
        <v>12</v>
      </c>
      <c r="T58">
        <v>1</v>
      </c>
      <c r="U58">
        <v>430272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30</v>
      </c>
      <c r="AC58">
        <v>21.87</v>
      </c>
      <c r="AD58">
        <v>0.72</v>
      </c>
      <c r="AE58">
        <v>-7.85</v>
      </c>
      <c r="AF58">
        <v>0.62</v>
      </c>
      <c r="AG58">
        <v>4.22</v>
      </c>
      <c r="AH58">
        <v>6666.69</v>
      </c>
      <c r="AI58">
        <v>35.81</v>
      </c>
      <c r="AJ58">
        <v>15.85</v>
      </c>
      <c r="AK58">
        <v>15.13</v>
      </c>
    </row>
    <row r="59" spans="1:37" x14ac:dyDescent="0.35">
      <c r="A59" t="s">
        <v>159</v>
      </c>
      <c r="B59" t="s">
        <v>160</v>
      </c>
      <c r="C59">
        <v>10</v>
      </c>
      <c r="D59" t="s">
        <v>158</v>
      </c>
      <c r="E59" t="s">
        <v>40</v>
      </c>
      <c r="F59">
        <v>1</v>
      </c>
      <c r="G59" t="s">
        <v>41</v>
      </c>
      <c r="H59">
        <v>8</v>
      </c>
      <c r="I59">
        <v>8</v>
      </c>
      <c r="J59" t="s">
        <v>42</v>
      </c>
      <c r="K59">
        <v>2</v>
      </c>
      <c r="L59">
        <v>0.47849999999999998</v>
      </c>
      <c r="M59">
        <v>50</v>
      </c>
      <c r="N59">
        <v>48</v>
      </c>
      <c r="O59">
        <v>2</v>
      </c>
      <c r="P59">
        <v>1.04</v>
      </c>
      <c r="Q59">
        <f t="shared" si="0"/>
        <v>0.04</v>
      </c>
      <c r="R59">
        <v>48</v>
      </c>
      <c r="S59">
        <v>0</v>
      </c>
      <c r="T59">
        <v>0</v>
      </c>
      <c r="U59">
        <v>1721088</v>
      </c>
      <c r="V59">
        <v>1721088</v>
      </c>
      <c r="W59">
        <v>100</v>
      </c>
      <c r="X59">
        <v>0.4597</v>
      </c>
      <c r="Y59">
        <v>0.03</v>
      </c>
      <c r="Z59">
        <v>34422</v>
      </c>
      <c r="AA59">
        <v>3.7000000000000002E-3</v>
      </c>
      <c r="AB59">
        <v>30</v>
      </c>
      <c r="AC59">
        <v>21.87</v>
      </c>
      <c r="AD59">
        <v>0.72</v>
      </c>
      <c r="AE59">
        <v>-8.98</v>
      </c>
      <c r="AF59">
        <v>0.81</v>
      </c>
      <c r="AG59">
        <v>10.62</v>
      </c>
      <c r="AH59">
        <v>6666.69</v>
      </c>
      <c r="AI59">
        <v>35.81</v>
      </c>
      <c r="AJ59">
        <v>19.03</v>
      </c>
      <c r="AK59">
        <v>17.84</v>
      </c>
    </row>
    <row r="60" spans="1:37" x14ac:dyDescent="0.35">
      <c r="A60" t="s">
        <v>161</v>
      </c>
      <c r="B60" t="s">
        <v>162</v>
      </c>
      <c r="C60">
        <v>12</v>
      </c>
      <c r="D60" t="s">
        <v>158</v>
      </c>
      <c r="E60" t="s">
        <v>40</v>
      </c>
      <c r="F60">
        <v>1</v>
      </c>
      <c r="G60" t="s">
        <v>41</v>
      </c>
      <c r="H60">
        <v>8</v>
      </c>
      <c r="I60">
        <v>8</v>
      </c>
      <c r="J60" t="s">
        <v>42</v>
      </c>
      <c r="K60">
        <v>2</v>
      </c>
      <c r="L60">
        <v>0.47849999999999998</v>
      </c>
      <c r="M60">
        <v>50</v>
      </c>
      <c r="N60">
        <v>50</v>
      </c>
      <c r="O60">
        <v>0</v>
      </c>
      <c r="P60">
        <v>1</v>
      </c>
      <c r="Q60">
        <f t="shared" si="0"/>
        <v>0</v>
      </c>
      <c r="R60">
        <v>50</v>
      </c>
      <c r="S60">
        <v>0</v>
      </c>
      <c r="T60">
        <v>0</v>
      </c>
      <c r="U60">
        <v>1792800</v>
      </c>
      <c r="V60">
        <v>1792800</v>
      </c>
      <c r="W60">
        <v>100</v>
      </c>
      <c r="X60">
        <v>0.4788</v>
      </c>
      <c r="Y60">
        <v>0.04</v>
      </c>
      <c r="Z60">
        <v>35856</v>
      </c>
      <c r="AA60">
        <v>3.8E-3</v>
      </c>
      <c r="AB60">
        <v>30</v>
      </c>
      <c r="AC60">
        <v>21.87</v>
      </c>
      <c r="AD60">
        <v>0.72</v>
      </c>
      <c r="AE60">
        <v>-8.9700000000000006</v>
      </c>
      <c r="AF60">
        <v>0.86</v>
      </c>
      <c r="AG60">
        <v>10.1</v>
      </c>
      <c r="AH60">
        <v>6666.69</v>
      </c>
      <c r="AI60">
        <v>35.81</v>
      </c>
      <c r="AJ60">
        <v>19.670000000000002</v>
      </c>
      <c r="AK60">
        <v>18.29</v>
      </c>
    </row>
    <row r="61" spans="1:37" x14ac:dyDescent="0.35">
      <c r="A61" t="s">
        <v>163</v>
      </c>
      <c r="B61" t="s">
        <v>164</v>
      </c>
      <c r="C61">
        <v>2</v>
      </c>
      <c r="D61" t="s">
        <v>158</v>
      </c>
      <c r="E61" t="s">
        <v>40</v>
      </c>
      <c r="F61">
        <v>1</v>
      </c>
      <c r="G61" t="s">
        <v>41</v>
      </c>
      <c r="H61">
        <v>8</v>
      </c>
      <c r="I61">
        <v>8</v>
      </c>
      <c r="J61" t="s">
        <v>42</v>
      </c>
      <c r="K61">
        <v>2</v>
      </c>
      <c r="L61">
        <v>0.47849999999999998</v>
      </c>
      <c r="M61">
        <v>50</v>
      </c>
      <c r="N61">
        <v>14</v>
      </c>
      <c r="O61">
        <v>36</v>
      </c>
      <c r="P61">
        <v>3.57</v>
      </c>
      <c r="Q61">
        <f t="shared" si="0"/>
        <v>0.72</v>
      </c>
      <c r="R61">
        <v>11</v>
      </c>
      <c r="S61">
        <v>3</v>
      </c>
      <c r="T61">
        <v>0.21429999999999999</v>
      </c>
      <c r="U61">
        <v>501984</v>
      </c>
      <c r="V61">
        <v>394416</v>
      </c>
      <c r="W61">
        <v>78.569999999999993</v>
      </c>
      <c r="X61">
        <v>0.1053</v>
      </c>
      <c r="Y61">
        <v>0.01</v>
      </c>
      <c r="Z61">
        <v>7888</v>
      </c>
      <c r="AA61">
        <v>8.0000000000000004E-4</v>
      </c>
      <c r="AB61">
        <v>30</v>
      </c>
      <c r="AC61">
        <v>21.87</v>
      </c>
      <c r="AD61">
        <v>0.72</v>
      </c>
      <c r="AE61">
        <v>-8.2799999999999994</v>
      </c>
      <c r="AF61">
        <v>0.69</v>
      </c>
      <c r="AG61">
        <v>5</v>
      </c>
      <c r="AH61">
        <v>6666.69</v>
      </c>
      <c r="AI61">
        <v>35.81</v>
      </c>
      <c r="AJ61">
        <v>16.36</v>
      </c>
      <c r="AK61">
        <v>15.68</v>
      </c>
    </row>
    <row r="62" spans="1:37" x14ac:dyDescent="0.35">
      <c r="A62" t="s">
        <v>165</v>
      </c>
      <c r="B62" t="s">
        <v>166</v>
      </c>
      <c r="C62">
        <v>4</v>
      </c>
      <c r="D62" t="s">
        <v>158</v>
      </c>
      <c r="E62" t="s">
        <v>40</v>
      </c>
      <c r="F62">
        <v>1</v>
      </c>
      <c r="G62" t="s">
        <v>41</v>
      </c>
      <c r="H62">
        <v>8</v>
      </c>
      <c r="I62">
        <v>8</v>
      </c>
      <c r="J62" t="s">
        <v>42</v>
      </c>
      <c r="K62">
        <v>2</v>
      </c>
      <c r="L62">
        <v>0.47849999999999998</v>
      </c>
      <c r="M62">
        <v>50</v>
      </c>
      <c r="N62">
        <v>20</v>
      </c>
      <c r="O62">
        <v>30</v>
      </c>
      <c r="P62">
        <v>2.5</v>
      </c>
      <c r="Q62">
        <f t="shared" si="0"/>
        <v>0.6</v>
      </c>
      <c r="R62">
        <v>20</v>
      </c>
      <c r="S62">
        <v>0</v>
      </c>
      <c r="T62">
        <v>0</v>
      </c>
      <c r="U62">
        <v>717120</v>
      </c>
      <c r="V62">
        <v>717120</v>
      </c>
      <c r="W62">
        <v>100</v>
      </c>
      <c r="X62">
        <v>0.1915</v>
      </c>
      <c r="Y62">
        <v>0.01</v>
      </c>
      <c r="Z62">
        <v>14342</v>
      </c>
      <c r="AA62">
        <v>1.5E-3</v>
      </c>
      <c r="AB62">
        <v>30</v>
      </c>
      <c r="AC62">
        <v>21.87</v>
      </c>
      <c r="AD62">
        <v>0.72</v>
      </c>
      <c r="AE62">
        <v>-8.57</v>
      </c>
      <c r="AF62">
        <v>0.73</v>
      </c>
      <c r="AG62">
        <v>5.79</v>
      </c>
      <c r="AH62">
        <v>6666.69</v>
      </c>
      <c r="AI62">
        <v>35.81</v>
      </c>
      <c r="AJ62">
        <v>16.850000000000001</v>
      </c>
      <c r="AK62">
        <v>16.21</v>
      </c>
    </row>
    <row r="63" spans="1:37" x14ac:dyDescent="0.35">
      <c r="A63" t="s">
        <v>167</v>
      </c>
      <c r="B63" t="s">
        <v>168</v>
      </c>
      <c r="C63">
        <v>6</v>
      </c>
      <c r="D63" t="s">
        <v>158</v>
      </c>
      <c r="E63" t="s">
        <v>40</v>
      </c>
      <c r="F63">
        <v>1</v>
      </c>
      <c r="G63" t="s">
        <v>41</v>
      </c>
      <c r="H63">
        <v>8</v>
      </c>
      <c r="I63">
        <v>8</v>
      </c>
      <c r="J63" t="s">
        <v>42</v>
      </c>
      <c r="K63">
        <v>2</v>
      </c>
      <c r="L63">
        <v>0.47849999999999998</v>
      </c>
      <c r="M63">
        <v>50</v>
      </c>
      <c r="N63">
        <v>25</v>
      </c>
      <c r="O63">
        <v>25</v>
      </c>
      <c r="P63">
        <v>2</v>
      </c>
      <c r="Q63">
        <f t="shared" si="0"/>
        <v>0.5</v>
      </c>
      <c r="R63">
        <v>25</v>
      </c>
      <c r="S63">
        <v>0</v>
      </c>
      <c r="T63">
        <v>0</v>
      </c>
      <c r="U63">
        <v>896400</v>
      </c>
      <c r="V63">
        <v>896400</v>
      </c>
      <c r="W63">
        <v>100</v>
      </c>
      <c r="X63">
        <v>0.2394</v>
      </c>
      <c r="Y63">
        <v>0.02</v>
      </c>
      <c r="Z63">
        <v>17928</v>
      </c>
      <c r="AA63">
        <v>1.9E-3</v>
      </c>
      <c r="AB63">
        <v>30</v>
      </c>
      <c r="AC63">
        <v>21.87</v>
      </c>
      <c r="AD63">
        <v>0.72</v>
      </c>
      <c r="AE63">
        <v>-8.77</v>
      </c>
      <c r="AF63">
        <v>0.76</v>
      </c>
      <c r="AG63">
        <v>6.85</v>
      </c>
      <c r="AH63">
        <v>6666.69</v>
      </c>
      <c r="AI63">
        <v>35.81</v>
      </c>
      <c r="AJ63">
        <v>17.399999999999999</v>
      </c>
      <c r="AK63">
        <v>16.690000000000001</v>
      </c>
    </row>
    <row r="64" spans="1:37" x14ac:dyDescent="0.35">
      <c r="A64" t="s">
        <v>169</v>
      </c>
      <c r="B64" t="s">
        <v>170</v>
      </c>
      <c r="C64">
        <v>8</v>
      </c>
      <c r="D64" t="s">
        <v>158</v>
      </c>
      <c r="E64" t="s">
        <v>40</v>
      </c>
      <c r="F64">
        <v>1</v>
      </c>
      <c r="G64" t="s">
        <v>41</v>
      </c>
      <c r="H64">
        <v>8</v>
      </c>
      <c r="I64">
        <v>8</v>
      </c>
      <c r="J64" t="s">
        <v>42</v>
      </c>
      <c r="K64">
        <v>2</v>
      </c>
      <c r="L64">
        <v>0.47849999999999998</v>
      </c>
      <c r="M64">
        <v>50</v>
      </c>
      <c r="N64">
        <v>37</v>
      </c>
      <c r="O64">
        <v>13</v>
      </c>
      <c r="P64">
        <v>1.35</v>
      </c>
      <c r="Q64">
        <f t="shared" si="0"/>
        <v>0.26</v>
      </c>
      <c r="R64">
        <v>37</v>
      </c>
      <c r="S64">
        <v>0</v>
      </c>
      <c r="T64">
        <v>0</v>
      </c>
      <c r="U64">
        <v>1326672</v>
      </c>
      <c r="V64">
        <v>1326672</v>
      </c>
      <c r="W64">
        <v>100</v>
      </c>
      <c r="X64">
        <v>0.3543</v>
      </c>
      <c r="Y64">
        <v>0.03</v>
      </c>
      <c r="Z64">
        <v>26533</v>
      </c>
      <c r="AA64">
        <v>2.8E-3</v>
      </c>
      <c r="AB64">
        <v>30</v>
      </c>
      <c r="AC64">
        <v>21.87</v>
      </c>
      <c r="AD64">
        <v>0.72</v>
      </c>
      <c r="AE64">
        <v>-8.9</v>
      </c>
      <c r="AF64">
        <v>0.79</v>
      </c>
      <c r="AG64">
        <v>8.41</v>
      </c>
      <c r="AH64">
        <v>6666.69</v>
      </c>
      <c r="AI64">
        <v>35.81</v>
      </c>
      <c r="AJ64">
        <v>18.09</v>
      </c>
      <c r="AK64">
        <v>17.2</v>
      </c>
    </row>
    <row r="65" spans="1:37" x14ac:dyDescent="0.35">
      <c r="A65" t="s">
        <v>171</v>
      </c>
      <c r="B65" t="s">
        <v>172</v>
      </c>
      <c r="C65">
        <v>0</v>
      </c>
      <c r="D65" t="s">
        <v>173</v>
      </c>
      <c r="E65" t="s">
        <v>40</v>
      </c>
      <c r="F65">
        <v>1</v>
      </c>
      <c r="G65" t="s">
        <v>41</v>
      </c>
      <c r="H65">
        <v>8</v>
      </c>
      <c r="I65">
        <v>8</v>
      </c>
      <c r="J65" t="s">
        <v>42</v>
      </c>
      <c r="K65">
        <v>2</v>
      </c>
      <c r="L65">
        <v>0.47849999999999998</v>
      </c>
      <c r="M65">
        <v>50</v>
      </c>
      <c r="N65">
        <v>50</v>
      </c>
      <c r="O65">
        <v>0</v>
      </c>
      <c r="P65">
        <v>1</v>
      </c>
      <c r="Q65">
        <f t="shared" si="0"/>
        <v>0</v>
      </c>
      <c r="R65">
        <v>50</v>
      </c>
      <c r="S65">
        <v>0</v>
      </c>
      <c r="T65">
        <v>0</v>
      </c>
      <c r="U65">
        <v>602000</v>
      </c>
      <c r="V65">
        <v>602000</v>
      </c>
      <c r="W65">
        <v>100</v>
      </c>
      <c r="X65">
        <v>0.4824</v>
      </c>
      <c r="Y65">
        <v>0.01</v>
      </c>
      <c r="Z65">
        <v>12040</v>
      </c>
      <c r="AA65">
        <v>1.2999999999999999E-3</v>
      </c>
      <c r="AB65">
        <v>30</v>
      </c>
      <c r="AC65">
        <v>21.87</v>
      </c>
      <c r="AD65">
        <v>0.72</v>
      </c>
      <c r="AE65">
        <v>-7.84</v>
      </c>
      <c r="AF65">
        <v>0.6</v>
      </c>
      <c r="AG65">
        <v>3.68</v>
      </c>
      <c r="AH65">
        <v>6666.69</v>
      </c>
      <c r="AI65">
        <v>35.81</v>
      </c>
      <c r="AJ65">
        <v>7.73</v>
      </c>
      <c r="AK65">
        <v>5.98</v>
      </c>
    </row>
    <row r="66" spans="1:37" x14ac:dyDescent="0.35">
      <c r="A66" t="s">
        <v>174</v>
      </c>
      <c r="B66" t="s">
        <v>175</v>
      </c>
      <c r="C66">
        <v>10</v>
      </c>
      <c r="D66" t="s">
        <v>173</v>
      </c>
      <c r="E66" t="s">
        <v>40</v>
      </c>
      <c r="F66">
        <v>1</v>
      </c>
      <c r="G66" t="s">
        <v>41</v>
      </c>
      <c r="H66">
        <v>8</v>
      </c>
      <c r="I66">
        <v>8</v>
      </c>
      <c r="J66" t="s">
        <v>42</v>
      </c>
      <c r="K66">
        <v>2</v>
      </c>
      <c r="L66">
        <v>0.47849999999999998</v>
      </c>
      <c r="M66">
        <v>50</v>
      </c>
      <c r="N66">
        <v>50</v>
      </c>
      <c r="O66">
        <v>0</v>
      </c>
      <c r="P66">
        <v>1</v>
      </c>
      <c r="Q66">
        <f t="shared" si="0"/>
        <v>0</v>
      </c>
      <c r="R66">
        <v>50</v>
      </c>
      <c r="S66">
        <v>0</v>
      </c>
      <c r="T66">
        <v>0</v>
      </c>
      <c r="U66">
        <v>602000</v>
      </c>
      <c r="V66">
        <v>602000</v>
      </c>
      <c r="W66">
        <v>100</v>
      </c>
      <c r="X66">
        <v>0.4824</v>
      </c>
      <c r="Y66">
        <v>0.01</v>
      </c>
      <c r="Z66">
        <v>12040</v>
      </c>
      <c r="AA66">
        <v>1.2999999999999999E-3</v>
      </c>
      <c r="AB66">
        <v>30</v>
      </c>
      <c r="AC66">
        <v>21.87</v>
      </c>
      <c r="AD66">
        <v>0.72</v>
      </c>
      <c r="AE66">
        <v>-8.98</v>
      </c>
      <c r="AF66">
        <v>0.8</v>
      </c>
      <c r="AG66">
        <v>10.77</v>
      </c>
      <c r="AH66">
        <v>6666.69</v>
      </c>
      <c r="AI66">
        <v>35.81</v>
      </c>
      <c r="AJ66">
        <v>17.34</v>
      </c>
      <c r="AK66">
        <v>14.49</v>
      </c>
    </row>
    <row r="67" spans="1:37" x14ac:dyDescent="0.35">
      <c r="A67" t="s">
        <v>176</v>
      </c>
      <c r="B67" t="s">
        <v>177</v>
      </c>
      <c r="C67">
        <v>12</v>
      </c>
      <c r="D67" t="s">
        <v>173</v>
      </c>
      <c r="E67" t="s">
        <v>40</v>
      </c>
      <c r="F67">
        <v>1</v>
      </c>
      <c r="G67" t="s">
        <v>41</v>
      </c>
      <c r="H67">
        <v>8</v>
      </c>
      <c r="I67">
        <v>8</v>
      </c>
      <c r="J67" t="s">
        <v>42</v>
      </c>
      <c r="K67">
        <v>2</v>
      </c>
      <c r="L67">
        <v>0.47849999999999998</v>
      </c>
      <c r="M67">
        <v>50</v>
      </c>
      <c r="N67">
        <v>50</v>
      </c>
      <c r="O67">
        <v>0</v>
      </c>
      <c r="P67">
        <v>1</v>
      </c>
      <c r="Q67">
        <f t="shared" ref="Q67:Q130" si="1">O67/M67</f>
        <v>0</v>
      </c>
      <c r="R67">
        <v>50</v>
      </c>
      <c r="S67">
        <v>0</v>
      </c>
      <c r="T67">
        <v>0</v>
      </c>
      <c r="U67">
        <v>602000</v>
      </c>
      <c r="V67">
        <v>602000</v>
      </c>
      <c r="W67">
        <v>100</v>
      </c>
      <c r="X67">
        <v>0.4824</v>
      </c>
      <c r="Y67">
        <v>0.01</v>
      </c>
      <c r="Z67">
        <v>12040</v>
      </c>
      <c r="AA67">
        <v>1.2999999999999999E-3</v>
      </c>
      <c r="AB67">
        <v>30</v>
      </c>
      <c r="AC67">
        <v>21.87</v>
      </c>
      <c r="AD67">
        <v>0.72</v>
      </c>
      <c r="AE67">
        <v>-8.9700000000000006</v>
      </c>
      <c r="AF67">
        <v>0.85</v>
      </c>
      <c r="AG67">
        <v>10.71</v>
      </c>
      <c r="AH67">
        <v>6666.69</v>
      </c>
      <c r="AI67">
        <v>35.81</v>
      </c>
      <c r="AJ67">
        <v>18.09</v>
      </c>
      <c r="AK67">
        <v>15.17</v>
      </c>
    </row>
    <row r="68" spans="1:37" x14ac:dyDescent="0.35">
      <c r="A68" t="s">
        <v>178</v>
      </c>
      <c r="B68" t="s">
        <v>179</v>
      </c>
      <c r="C68">
        <v>2</v>
      </c>
      <c r="D68" t="s">
        <v>173</v>
      </c>
      <c r="E68" t="s">
        <v>40</v>
      </c>
      <c r="F68">
        <v>1</v>
      </c>
      <c r="G68" t="s">
        <v>41</v>
      </c>
      <c r="H68">
        <v>8</v>
      </c>
      <c r="I68">
        <v>8</v>
      </c>
      <c r="J68" t="s">
        <v>42</v>
      </c>
      <c r="K68">
        <v>2</v>
      </c>
      <c r="L68">
        <v>0.47849999999999998</v>
      </c>
      <c r="M68">
        <v>50</v>
      </c>
      <c r="N68">
        <v>50</v>
      </c>
      <c r="O68">
        <v>0</v>
      </c>
      <c r="P68">
        <v>1</v>
      </c>
      <c r="Q68">
        <f t="shared" si="1"/>
        <v>0</v>
      </c>
      <c r="R68">
        <v>50</v>
      </c>
      <c r="S68">
        <v>0</v>
      </c>
      <c r="T68">
        <v>0</v>
      </c>
      <c r="U68">
        <v>602000</v>
      </c>
      <c r="V68">
        <v>602000</v>
      </c>
      <c r="W68">
        <v>100</v>
      </c>
      <c r="X68">
        <v>0.4824</v>
      </c>
      <c r="Y68">
        <v>0.01</v>
      </c>
      <c r="Z68">
        <v>12040</v>
      </c>
      <c r="AA68">
        <v>1.2999999999999999E-3</v>
      </c>
      <c r="AB68">
        <v>30</v>
      </c>
      <c r="AC68">
        <v>21.87</v>
      </c>
      <c r="AD68">
        <v>0.72</v>
      </c>
      <c r="AE68">
        <v>-8.27</v>
      </c>
      <c r="AF68">
        <v>0.67</v>
      </c>
      <c r="AG68">
        <v>4.4800000000000004</v>
      </c>
      <c r="AH68">
        <v>6666.69</v>
      </c>
      <c r="AI68">
        <v>35.81</v>
      </c>
      <c r="AJ68">
        <v>9.43</v>
      </c>
      <c r="AK68">
        <v>7.23</v>
      </c>
    </row>
    <row r="69" spans="1:37" x14ac:dyDescent="0.35">
      <c r="A69" t="s">
        <v>180</v>
      </c>
      <c r="B69" t="s">
        <v>181</v>
      </c>
      <c r="C69">
        <v>4</v>
      </c>
      <c r="D69" t="s">
        <v>173</v>
      </c>
      <c r="E69" t="s">
        <v>40</v>
      </c>
      <c r="F69">
        <v>1</v>
      </c>
      <c r="G69" t="s">
        <v>41</v>
      </c>
      <c r="H69">
        <v>8</v>
      </c>
      <c r="I69">
        <v>8</v>
      </c>
      <c r="J69" t="s">
        <v>42</v>
      </c>
      <c r="K69">
        <v>2</v>
      </c>
      <c r="L69">
        <v>0.47849999999999998</v>
      </c>
      <c r="M69">
        <v>50</v>
      </c>
      <c r="N69">
        <v>50</v>
      </c>
      <c r="O69">
        <v>0</v>
      </c>
      <c r="P69">
        <v>1</v>
      </c>
      <c r="Q69">
        <f t="shared" si="1"/>
        <v>0</v>
      </c>
      <c r="R69">
        <v>50</v>
      </c>
      <c r="S69">
        <v>0</v>
      </c>
      <c r="T69">
        <v>0</v>
      </c>
      <c r="U69">
        <v>602000</v>
      </c>
      <c r="V69">
        <v>602000</v>
      </c>
      <c r="W69">
        <v>100</v>
      </c>
      <c r="X69">
        <v>0.4824</v>
      </c>
      <c r="Y69">
        <v>0.01</v>
      </c>
      <c r="Z69">
        <v>12040</v>
      </c>
      <c r="AA69">
        <v>1.2999999999999999E-3</v>
      </c>
      <c r="AB69">
        <v>30</v>
      </c>
      <c r="AC69">
        <v>21.87</v>
      </c>
      <c r="AD69">
        <v>0.72</v>
      </c>
      <c r="AE69">
        <v>-8.57</v>
      </c>
      <c r="AF69">
        <v>0.72</v>
      </c>
      <c r="AG69">
        <v>5.53</v>
      </c>
      <c r="AH69">
        <v>6666.69</v>
      </c>
      <c r="AI69">
        <v>35.81</v>
      </c>
      <c r="AJ69">
        <v>11.33</v>
      </c>
      <c r="AK69">
        <v>8.77</v>
      </c>
    </row>
    <row r="70" spans="1:37" x14ac:dyDescent="0.35">
      <c r="A70" t="s">
        <v>182</v>
      </c>
      <c r="B70" t="s">
        <v>183</v>
      </c>
      <c r="C70">
        <v>6</v>
      </c>
      <c r="D70" t="s">
        <v>173</v>
      </c>
      <c r="E70" t="s">
        <v>40</v>
      </c>
      <c r="F70">
        <v>1</v>
      </c>
      <c r="G70" t="s">
        <v>41</v>
      </c>
      <c r="H70">
        <v>8</v>
      </c>
      <c r="I70">
        <v>8</v>
      </c>
      <c r="J70" t="s">
        <v>42</v>
      </c>
      <c r="K70">
        <v>2</v>
      </c>
      <c r="L70">
        <v>0.47849999999999998</v>
      </c>
      <c r="M70">
        <v>50</v>
      </c>
      <c r="N70">
        <v>50</v>
      </c>
      <c r="O70">
        <v>0</v>
      </c>
      <c r="P70">
        <v>1</v>
      </c>
      <c r="Q70">
        <f t="shared" si="1"/>
        <v>0</v>
      </c>
      <c r="R70">
        <v>50</v>
      </c>
      <c r="S70">
        <v>0</v>
      </c>
      <c r="T70">
        <v>0</v>
      </c>
      <c r="U70">
        <v>602000</v>
      </c>
      <c r="V70">
        <v>602000</v>
      </c>
      <c r="W70">
        <v>100</v>
      </c>
      <c r="X70">
        <v>0.4824</v>
      </c>
      <c r="Y70">
        <v>0.01</v>
      </c>
      <c r="Z70">
        <v>12040</v>
      </c>
      <c r="AA70">
        <v>1.2999999999999999E-3</v>
      </c>
      <c r="AB70">
        <v>30</v>
      </c>
      <c r="AC70">
        <v>21.87</v>
      </c>
      <c r="AD70">
        <v>0.72</v>
      </c>
      <c r="AE70">
        <v>-8.76</v>
      </c>
      <c r="AF70">
        <v>0.76</v>
      </c>
      <c r="AG70">
        <v>6.88</v>
      </c>
      <c r="AH70">
        <v>6666.69</v>
      </c>
      <c r="AI70">
        <v>35.81</v>
      </c>
      <c r="AJ70">
        <v>13.32</v>
      </c>
      <c r="AK70">
        <v>10.55</v>
      </c>
    </row>
    <row r="71" spans="1:37" x14ac:dyDescent="0.35">
      <c r="A71" t="s">
        <v>184</v>
      </c>
      <c r="B71" t="s">
        <v>185</v>
      </c>
      <c r="C71">
        <v>8</v>
      </c>
      <c r="D71" t="s">
        <v>173</v>
      </c>
      <c r="E71" t="s">
        <v>40</v>
      </c>
      <c r="F71">
        <v>1</v>
      </c>
      <c r="G71" t="s">
        <v>41</v>
      </c>
      <c r="H71">
        <v>8</v>
      </c>
      <c r="I71">
        <v>8</v>
      </c>
      <c r="J71" t="s">
        <v>42</v>
      </c>
      <c r="K71">
        <v>2</v>
      </c>
      <c r="L71">
        <v>0.47849999999999998</v>
      </c>
      <c r="M71">
        <v>50</v>
      </c>
      <c r="N71">
        <v>50</v>
      </c>
      <c r="O71">
        <v>0</v>
      </c>
      <c r="P71">
        <v>1</v>
      </c>
      <c r="Q71">
        <f t="shared" si="1"/>
        <v>0</v>
      </c>
      <c r="R71">
        <v>50</v>
      </c>
      <c r="S71">
        <v>0</v>
      </c>
      <c r="T71">
        <v>0</v>
      </c>
      <c r="U71">
        <v>602000</v>
      </c>
      <c r="V71">
        <v>602000</v>
      </c>
      <c r="W71">
        <v>100</v>
      </c>
      <c r="X71">
        <v>0.4824</v>
      </c>
      <c r="Y71">
        <v>0.01</v>
      </c>
      <c r="Z71">
        <v>12040</v>
      </c>
      <c r="AA71">
        <v>1.2999999999999999E-3</v>
      </c>
      <c r="AB71">
        <v>30</v>
      </c>
      <c r="AC71">
        <v>21.87</v>
      </c>
      <c r="AD71">
        <v>0.72</v>
      </c>
      <c r="AE71">
        <v>-8.9</v>
      </c>
      <c r="AF71">
        <v>0.78</v>
      </c>
      <c r="AG71">
        <v>8.58</v>
      </c>
      <c r="AH71">
        <v>6666.69</v>
      </c>
      <c r="AI71">
        <v>35.81</v>
      </c>
      <c r="AJ71">
        <v>15.33</v>
      </c>
      <c r="AK71">
        <v>12.48</v>
      </c>
    </row>
    <row r="72" spans="1:37" x14ac:dyDescent="0.35">
      <c r="A72" t="s">
        <v>37</v>
      </c>
      <c r="B72" t="s">
        <v>38</v>
      </c>
      <c r="C72">
        <v>0</v>
      </c>
      <c r="D72" t="s">
        <v>39</v>
      </c>
      <c r="E72" t="s">
        <v>40</v>
      </c>
      <c r="F72">
        <v>1</v>
      </c>
      <c r="G72" t="s">
        <v>41</v>
      </c>
      <c r="H72">
        <v>8</v>
      </c>
      <c r="I72">
        <v>8</v>
      </c>
      <c r="J72" t="s">
        <v>42</v>
      </c>
      <c r="K72">
        <v>2</v>
      </c>
      <c r="L72">
        <v>0.47849999999999998</v>
      </c>
      <c r="M72">
        <v>50</v>
      </c>
      <c r="N72">
        <v>12</v>
      </c>
      <c r="O72">
        <v>38</v>
      </c>
      <c r="P72">
        <v>4.17</v>
      </c>
      <c r="Q72">
        <f t="shared" si="1"/>
        <v>0.76</v>
      </c>
      <c r="R72">
        <v>0</v>
      </c>
      <c r="S72">
        <v>12</v>
      </c>
      <c r="T72">
        <v>1</v>
      </c>
      <c r="U72">
        <v>713184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30</v>
      </c>
      <c r="AC72">
        <v>21.87</v>
      </c>
      <c r="AD72">
        <v>0.72</v>
      </c>
      <c r="AE72">
        <v>-7.84</v>
      </c>
      <c r="AF72">
        <v>0.62</v>
      </c>
      <c r="AG72">
        <v>4.03</v>
      </c>
      <c r="AH72">
        <v>6666.69</v>
      </c>
      <c r="AI72">
        <v>35.81</v>
      </c>
      <c r="AJ72">
        <v>25.21</v>
      </c>
      <c r="AK72">
        <v>24.43</v>
      </c>
    </row>
    <row r="73" spans="1:37" x14ac:dyDescent="0.35">
      <c r="A73" t="s">
        <v>43</v>
      </c>
      <c r="B73" t="s">
        <v>44</v>
      </c>
      <c r="C73">
        <v>10</v>
      </c>
      <c r="D73" t="s">
        <v>39</v>
      </c>
      <c r="E73" t="s">
        <v>40</v>
      </c>
      <c r="F73">
        <v>1</v>
      </c>
      <c r="G73" t="s">
        <v>41</v>
      </c>
      <c r="H73">
        <v>8</v>
      </c>
      <c r="I73">
        <v>8</v>
      </c>
      <c r="J73" t="s">
        <v>42</v>
      </c>
      <c r="K73">
        <v>2</v>
      </c>
      <c r="L73">
        <v>0.47849999999999998</v>
      </c>
      <c r="M73">
        <v>50</v>
      </c>
      <c r="N73">
        <v>24</v>
      </c>
      <c r="O73">
        <v>26</v>
      </c>
      <c r="P73">
        <v>2.08</v>
      </c>
      <c r="Q73">
        <f t="shared" si="1"/>
        <v>0.52</v>
      </c>
      <c r="R73">
        <v>24</v>
      </c>
      <c r="S73">
        <v>0</v>
      </c>
      <c r="T73">
        <v>0</v>
      </c>
      <c r="U73">
        <v>1426368</v>
      </c>
      <c r="V73">
        <v>1426368</v>
      </c>
      <c r="W73">
        <v>100</v>
      </c>
      <c r="X73">
        <v>0.2286</v>
      </c>
      <c r="Y73">
        <v>0.03</v>
      </c>
      <c r="Z73">
        <v>28527</v>
      </c>
      <c r="AA73">
        <v>3.0000000000000001E-3</v>
      </c>
      <c r="AB73">
        <v>30</v>
      </c>
      <c r="AC73">
        <v>21.87</v>
      </c>
      <c r="AD73">
        <v>0.72</v>
      </c>
      <c r="AE73">
        <v>-8.99</v>
      </c>
      <c r="AF73">
        <v>0.8</v>
      </c>
      <c r="AG73">
        <v>12.9</v>
      </c>
      <c r="AH73">
        <v>6666.69</v>
      </c>
      <c r="AI73">
        <v>35.81</v>
      </c>
      <c r="AJ73">
        <v>28.44</v>
      </c>
      <c r="AK73">
        <v>27.66</v>
      </c>
    </row>
    <row r="74" spans="1:37" x14ac:dyDescent="0.35">
      <c r="A74" t="s">
        <v>45</v>
      </c>
      <c r="B74" t="s">
        <v>46</v>
      </c>
      <c r="C74">
        <v>12</v>
      </c>
      <c r="D74" t="s">
        <v>39</v>
      </c>
      <c r="E74" t="s">
        <v>40</v>
      </c>
      <c r="F74">
        <v>1</v>
      </c>
      <c r="G74" t="s">
        <v>41</v>
      </c>
      <c r="H74">
        <v>8</v>
      </c>
      <c r="I74">
        <v>8</v>
      </c>
      <c r="J74" t="s">
        <v>42</v>
      </c>
      <c r="K74">
        <v>2</v>
      </c>
      <c r="L74">
        <v>0.47849999999999998</v>
      </c>
      <c r="M74">
        <v>50</v>
      </c>
      <c r="N74">
        <v>25</v>
      </c>
      <c r="O74">
        <v>25</v>
      </c>
      <c r="P74">
        <v>2</v>
      </c>
      <c r="Q74">
        <f t="shared" si="1"/>
        <v>0.5</v>
      </c>
      <c r="R74">
        <v>25</v>
      </c>
      <c r="S74">
        <v>0</v>
      </c>
      <c r="T74">
        <v>0</v>
      </c>
      <c r="U74">
        <v>1485800</v>
      </c>
      <c r="V74">
        <v>1485800</v>
      </c>
      <c r="W74">
        <v>100</v>
      </c>
      <c r="X74">
        <v>0.23810000000000001</v>
      </c>
      <c r="Y74">
        <v>0.03</v>
      </c>
      <c r="Z74">
        <v>29716</v>
      </c>
      <c r="AA74">
        <v>3.2000000000000002E-3</v>
      </c>
      <c r="AB74">
        <v>30</v>
      </c>
      <c r="AC74">
        <v>21.87</v>
      </c>
      <c r="AD74">
        <v>0.72</v>
      </c>
      <c r="AE74">
        <v>-8.9700000000000006</v>
      </c>
      <c r="AF74">
        <v>0.85</v>
      </c>
      <c r="AG74">
        <v>11.3</v>
      </c>
      <c r="AH74">
        <v>6666.69</v>
      </c>
      <c r="AI74">
        <v>35.81</v>
      </c>
      <c r="AJ74">
        <v>28.67</v>
      </c>
      <c r="AK74">
        <v>27.98</v>
      </c>
    </row>
    <row r="75" spans="1:37" x14ac:dyDescent="0.35">
      <c r="A75" t="s">
        <v>47</v>
      </c>
      <c r="B75" t="s">
        <v>48</v>
      </c>
      <c r="C75">
        <v>2</v>
      </c>
      <c r="D75" t="s">
        <v>39</v>
      </c>
      <c r="E75" t="s">
        <v>40</v>
      </c>
      <c r="F75">
        <v>1</v>
      </c>
      <c r="G75" t="s">
        <v>41</v>
      </c>
      <c r="H75">
        <v>8</v>
      </c>
      <c r="I75">
        <v>8</v>
      </c>
      <c r="J75" t="s">
        <v>42</v>
      </c>
      <c r="K75">
        <v>2</v>
      </c>
      <c r="L75">
        <v>0.47849999999999998</v>
      </c>
      <c r="M75">
        <v>50</v>
      </c>
      <c r="N75">
        <v>12</v>
      </c>
      <c r="O75">
        <v>38</v>
      </c>
      <c r="P75">
        <v>4.17</v>
      </c>
      <c r="Q75">
        <f t="shared" si="1"/>
        <v>0.76</v>
      </c>
      <c r="R75">
        <v>0</v>
      </c>
      <c r="S75">
        <v>12</v>
      </c>
      <c r="T75">
        <v>1</v>
      </c>
      <c r="U75">
        <v>713184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30</v>
      </c>
      <c r="AC75">
        <v>21.87</v>
      </c>
      <c r="AD75">
        <v>0.72</v>
      </c>
      <c r="AE75">
        <v>-8.27</v>
      </c>
      <c r="AF75">
        <v>0.68</v>
      </c>
      <c r="AG75">
        <v>4.97</v>
      </c>
      <c r="AH75">
        <v>6666.69</v>
      </c>
      <c r="AI75">
        <v>35.81</v>
      </c>
      <c r="AJ75">
        <v>25.9</v>
      </c>
      <c r="AK75">
        <v>24.94</v>
      </c>
    </row>
    <row r="76" spans="1:37" x14ac:dyDescent="0.35">
      <c r="A76" t="s">
        <v>49</v>
      </c>
      <c r="B76" t="s">
        <v>50</v>
      </c>
      <c r="C76">
        <v>4</v>
      </c>
      <c r="D76" t="s">
        <v>39</v>
      </c>
      <c r="E76" t="s">
        <v>40</v>
      </c>
      <c r="F76">
        <v>1</v>
      </c>
      <c r="G76" t="s">
        <v>41</v>
      </c>
      <c r="H76">
        <v>8</v>
      </c>
      <c r="I76">
        <v>8</v>
      </c>
      <c r="J76" t="s">
        <v>42</v>
      </c>
      <c r="K76">
        <v>2</v>
      </c>
      <c r="L76">
        <v>0.47849999999999998</v>
      </c>
      <c r="M76">
        <v>50</v>
      </c>
      <c r="N76">
        <v>12</v>
      </c>
      <c r="O76">
        <v>38</v>
      </c>
      <c r="P76">
        <v>4.17</v>
      </c>
      <c r="Q76">
        <f t="shared" si="1"/>
        <v>0.76</v>
      </c>
      <c r="R76">
        <v>5</v>
      </c>
      <c r="S76">
        <v>7</v>
      </c>
      <c r="T76">
        <v>0.58330000000000004</v>
      </c>
      <c r="U76">
        <v>713184</v>
      </c>
      <c r="V76">
        <v>297160</v>
      </c>
      <c r="W76">
        <v>41.67</v>
      </c>
      <c r="X76">
        <v>4.7600000000000003E-2</v>
      </c>
      <c r="Y76">
        <v>0.01</v>
      </c>
      <c r="Z76">
        <v>5943</v>
      </c>
      <c r="AA76">
        <v>5.9999999999999995E-4</v>
      </c>
      <c r="AB76">
        <v>30</v>
      </c>
      <c r="AC76">
        <v>21.87</v>
      </c>
      <c r="AD76">
        <v>0.72</v>
      </c>
      <c r="AE76">
        <v>-8.57</v>
      </c>
      <c r="AF76">
        <v>0.73</v>
      </c>
      <c r="AG76">
        <v>6.19</v>
      </c>
      <c r="AH76">
        <v>6666.69</v>
      </c>
      <c r="AI76">
        <v>35.81</v>
      </c>
      <c r="AJ76">
        <v>26.6</v>
      </c>
      <c r="AK76">
        <v>25.61</v>
      </c>
    </row>
    <row r="77" spans="1:37" x14ac:dyDescent="0.35">
      <c r="A77" t="s">
        <v>51</v>
      </c>
      <c r="B77" t="s">
        <v>52</v>
      </c>
      <c r="C77">
        <v>6</v>
      </c>
      <c r="D77" t="s">
        <v>39</v>
      </c>
      <c r="E77" t="s">
        <v>40</v>
      </c>
      <c r="F77">
        <v>1</v>
      </c>
      <c r="G77" t="s">
        <v>41</v>
      </c>
      <c r="H77">
        <v>8</v>
      </c>
      <c r="I77">
        <v>8</v>
      </c>
      <c r="J77" t="s">
        <v>42</v>
      </c>
      <c r="K77">
        <v>2</v>
      </c>
      <c r="L77">
        <v>0.47849999999999998</v>
      </c>
      <c r="M77">
        <v>50</v>
      </c>
      <c r="N77">
        <v>14</v>
      </c>
      <c r="O77">
        <v>36</v>
      </c>
      <c r="P77">
        <v>3.57</v>
      </c>
      <c r="Q77">
        <f t="shared" si="1"/>
        <v>0.72</v>
      </c>
      <c r="R77">
        <v>14</v>
      </c>
      <c r="S77">
        <v>0</v>
      </c>
      <c r="T77">
        <v>0</v>
      </c>
      <c r="U77">
        <v>832048</v>
      </c>
      <c r="V77">
        <v>832048</v>
      </c>
      <c r="W77">
        <v>100</v>
      </c>
      <c r="X77">
        <v>0.1333</v>
      </c>
      <c r="Y77">
        <v>0.02</v>
      </c>
      <c r="Z77">
        <v>16641</v>
      </c>
      <c r="AA77">
        <v>1.8E-3</v>
      </c>
      <c r="AB77">
        <v>30</v>
      </c>
      <c r="AC77">
        <v>21.87</v>
      </c>
      <c r="AD77">
        <v>0.72</v>
      </c>
      <c r="AE77">
        <v>-8.77</v>
      </c>
      <c r="AF77">
        <v>0.77</v>
      </c>
      <c r="AG77">
        <v>7.9</v>
      </c>
      <c r="AH77">
        <v>6666.69</v>
      </c>
      <c r="AI77">
        <v>35.81</v>
      </c>
      <c r="AJ77">
        <v>27.36</v>
      </c>
      <c r="AK77">
        <v>26.34</v>
      </c>
    </row>
    <row r="78" spans="1:37" x14ac:dyDescent="0.35">
      <c r="A78" t="s">
        <v>53</v>
      </c>
      <c r="B78" t="s">
        <v>54</v>
      </c>
      <c r="C78">
        <v>8</v>
      </c>
      <c r="D78" t="s">
        <v>39</v>
      </c>
      <c r="E78" t="s">
        <v>40</v>
      </c>
      <c r="F78">
        <v>1</v>
      </c>
      <c r="G78" t="s">
        <v>41</v>
      </c>
      <c r="H78">
        <v>8</v>
      </c>
      <c r="I78">
        <v>8</v>
      </c>
      <c r="J78" t="s">
        <v>42</v>
      </c>
      <c r="K78">
        <v>2</v>
      </c>
      <c r="L78">
        <v>0.47849999999999998</v>
      </c>
      <c r="M78">
        <v>50</v>
      </c>
      <c r="N78">
        <v>19</v>
      </c>
      <c r="O78">
        <v>31</v>
      </c>
      <c r="P78">
        <v>2.63</v>
      </c>
      <c r="Q78">
        <f t="shared" si="1"/>
        <v>0.62</v>
      </c>
      <c r="R78">
        <v>19</v>
      </c>
      <c r="S78">
        <v>0</v>
      </c>
      <c r="T78">
        <v>0</v>
      </c>
      <c r="U78">
        <v>1129208</v>
      </c>
      <c r="V78">
        <v>1129208</v>
      </c>
      <c r="W78">
        <v>100</v>
      </c>
      <c r="X78">
        <v>0.18099999999999999</v>
      </c>
      <c r="Y78">
        <v>0.02</v>
      </c>
      <c r="Z78">
        <v>22584</v>
      </c>
      <c r="AA78">
        <v>2.3999999999999998E-3</v>
      </c>
      <c r="AB78">
        <v>30</v>
      </c>
      <c r="AC78">
        <v>21.87</v>
      </c>
      <c r="AD78">
        <v>0.72</v>
      </c>
      <c r="AE78">
        <v>-8.9</v>
      </c>
      <c r="AF78">
        <v>0.79</v>
      </c>
      <c r="AG78">
        <v>9.64</v>
      </c>
      <c r="AH78">
        <v>6666.69</v>
      </c>
      <c r="AI78">
        <v>35.81</v>
      </c>
      <c r="AJ78">
        <v>27.96</v>
      </c>
      <c r="AK78">
        <v>26.95</v>
      </c>
    </row>
    <row r="79" spans="1:37" x14ac:dyDescent="0.35">
      <c r="A79" t="s">
        <v>55</v>
      </c>
      <c r="B79" t="s">
        <v>56</v>
      </c>
      <c r="C79">
        <v>0</v>
      </c>
      <c r="D79" t="s">
        <v>57</v>
      </c>
      <c r="E79" t="s">
        <v>40</v>
      </c>
      <c r="F79">
        <v>1</v>
      </c>
      <c r="G79" t="s">
        <v>41</v>
      </c>
      <c r="H79">
        <v>8</v>
      </c>
      <c r="I79">
        <v>8</v>
      </c>
      <c r="J79" t="s">
        <v>42</v>
      </c>
      <c r="K79">
        <v>2</v>
      </c>
      <c r="L79">
        <v>0.47849999999999998</v>
      </c>
      <c r="M79">
        <v>50</v>
      </c>
      <c r="N79">
        <v>18</v>
      </c>
      <c r="O79">
        <v>32</v>
      </c>
      <c r="P79">
        <v>2.78</v>
      </c>
      <c r="Q79">
        <f t="shared" si="1"/>
        <v>0.64</v>
      </c>
      <c r="R79">
        <v>17</v>
      </c>
      <c r="S79">
        <v>1</v>
      </c>
      <c r="T79">
        <v>5.5599999999999997E-2</v>
      </c>
      <c r="U79">
        <v>433296</v>
      </c>
      <c r="V79">
        <v>409224</v>
      </c>
      <c r="W79">
        <v>94.44</v>
      </c>
      <c r="X79">
        <v>0.16400000000000001</v>
      </c>
      <c r="Y79">
        <v>0.01</v>
      </c>
      <c r="Z79">
        <v>8184</v>
      </c>
      <c r="AA79">
        <v>8.9999999999999998E-4</v>
      </c>
      <c r="AB79">
        <v>30</v>
      </c>
      <c r="AC79">
        <v>21.87</v>
      </c>
      <c r="AD79">
        <v>0.72</v>
      </c>
      <c r="AE79">
        <v>-7.84</v>
      </c>
      <c r="AF79">
        <v>0.6</v>
      </c>
      <c r="AG79">
        <v>3.91</v>
      </c>
      <c r="AH79">
        <v>6666.69</v>
      </c>
      <c r="AI79">
        <v>35.81</v>
      </c>
      <c r="AJ79">
        <v>10.6</v>
      </c>
      <c r="AK79">
        <v>9.6300000000000008</v>
      </c>
    </row>
    <row r="80" spans="1:37" x14ac:dyDescent="0.35">
      <c r="A80" t="s">
        <v>58</v>
      </c>
      <c r="B80" t="s">
        <v>59</v>
      </c>
      <c r="C80">
        <v>10</v>
      </c>
      <c r="D80" t="s">
        <v>57</v>
      </c>
      <c r="E80" t="s">
        <v>40</v>
      </c>
      <c r="F80">
        <v>1</v>
      </c>
      <c r="G80" t="s">
        <v>41</v>
      </c>
      <c r="H80">
        <v>8</v>
      </c>
      <c r="I80">
        <v>8</v>
      </c>
      <c r="J80" t="s">
        <v>42</v>
      </c>
      <c r="K80">
        <v>2</v>
      </c>
      <c r="L80">
        <v>0.47849999999999998</v>
      </c>
      <c r="M80">
        <v>50</v>
      </c>
      <c r="N80">
        <v>50</v>
      </c>
      <c r="O80">
        <v>0</v>
      </c>
      <c r="P80">
        <v>1</v>
      </c>
      <c r="Q80">
        <f t="shared" si="1"/>
        <v>0</v>
      </c>
      <c r="R80">
        <v>50</v>
      </c>
      <c r="S80">
        <v>0</v>
      </c>
      <c r="T80">
        <v>0</v>
      </c>
      <c r="U80">
        <v>1203600</v>
      </c>
      <c r="V80">
        <v>1203600</v>
      </c>
      <c r="W80">
        <v>100</v>
      </c>
      <c r="X80">
        <v>0.48220000000000002</v>
      </c>
      <c r="Y80">
        <v>0.02</v>
      </c>
      <c r="Z80">
        <v>24072</v>
      </c>
      <c r="AA80">
        <v>2.5999999999999999E-3</v>
      </c>
      <c r="AB80">
        <v>30</v>
      </c>
      <c r="AC80">
        <v>21.87</v>
      </c>
      <c r="AD80">
        <v>0.72</v>
      </c>
      <c r="AE80">
        <v>-8.98</v>
      </c>
      <c r="AF80">
        <v>0.81</v>
      </c>
      <c r="AG80">
        <v>13.33</v>
      </c>
      <c r="AH80">
        <v>6666.69</v>
      </c>
      <c r="AI80">
        <v>35.81</v>
      </c>
      <c r="AJ80">
        <v>17.440000000000001</v>
      </c>
      <c r="AK80">
        <v>15.02</v>
      </c>
    </row>
    <row r="81" spans="1:37" x14ac:dyDescent="0.35">
      <c r="A81" t="s">
        <v>60</v>
      </c>
      <c r="B81" t="s">
        <v>61</v>
      </c>
      <c r="C81">
        <v>12</v>
      </c>
      <c r="D81" t="s">
        <v>57</v>
      </c>
      <c r="E81" t="s">
        <v>40</v>
      </c>
      <c r="F81">
        <v>1</v>
      </c>
      <c r="G81" t="s">
        <v>41</v>
      </c>
      <c r="H81">
        <v>8</v>
      </c>
      <c r="I81">
        <v>8</v>
      </c>
      <c r="J81" t="s">
        <v>42</v>
      </c>
      <c r="K81">
        <v>2</v>
      </c>
      <c r="L81">
        <v>0.47849999999999998</v>
      </c>
      <c r="M81">
        <v>50</v>
      </c>
      <c r="N81">
        <v>50</v>
      </c>
      <c r="O81">
        <v>0</v>
      </c>
      <c r="P81">
        <v>1</v>
      </c>
      <c r="Q81">
        <f t="shared" si="1"/>
        <v>0</v>
      </c>
      <c r="R81">
        <v>50</v>
      </c>
      <c r="S81">
        <v>0</v>
      </c>
      <c r="T81">
        <v>0</v>
      </c>
      <c r="U81">
        <v>1203600</v>
      </c>
      <c r="V81">
        <v>1203600</v>
      </c>
      <c r="W81">
        <v>100</v>
      </c>
      <c r="X81">
        <v>0.48220000000000002</v>
      </c>
      <c r="Y81">
        <v>0.02</v>
      </c>
      <c r="Z81">
        <v>24072</v>
      </c>
      <c r="AA81">
        <v>2.5999999999999999E-3</v>
      </c>
      <c r="AB81">
        <v>30</v>
      </c>
      <c r="AC81">
        <v>21.87</v>
      </c>
      <c r="AD81">
        <v>0.72</v>
      </c>
      <c r="AE81">
        <v>-8.9700000000000006</v>
      </c>
      <c r="AF81">
        <v>0.86</v>
      </c>
      <c r="AG81">
        <v>12.66</v>
      </c>
      <c r="AH81">
        <v>6666.69</v>
      </c>
      <c r="AI81">
        <v>35.81</v>
      </c>
      <c r="AJ81">
        <v>18.09</v>
      </c>
      <c r="AK81">
        <v>15.66</v>
      </c>
    </row>
    <row r="82" spans="1:37" x14ac:dyDescent="0.35">
      <c r="A82" t="s">
        <v>62</v>
      </c>
      <c r="B82" t="s">
        <v>63</v>
      </c>
      <c r="C82">
        <v>2</v>
      </c>
      <c r="D82" t="s">
        <v>57</v>
      </c>
      <c r="E82" t="s">
        <v>40</v>
      </c>
      <c r="F82">
        <v>1</v>
      </c>
      <c r="G82" t="s">
        <v>41</v>
      </c>
      <c r="H82">
        <v>8</v>
      </c>
      <c r="I82">
        <v>8</v>
      </c>
      <c r="J82" t="s">
        <v>42</v>
      </c>
      <c r="K82">
        <v>2</v>
      </c>
      <c r="L82">
        <v>0.47849999999999998</v>
      </c>
      <c r="M82">
        <v>50</v>
      </c>
      <c r="N82">
        <v>24</v>
      </c>
      <c r="O82">
        <v>26</v>
      </c>
      <c r="P82">
        <v>2.08</v>
      </c>
      <c r="Q82">
        <f t="shared" si="1"/>
        <v>0.52</v>
      </c>
      <c r="R82">
        <v>24</v>
      </c>
      <c r="S82">
        <v>0</v>
      </c>
      <c r="T82">
        <v>0</v>
      </c>
      <c r="U82">
        <v>577728</v>
      </c>
      <c r="V82">
        <v>577728</v>
      </c>
      <c r="W82">
        <v>100</v>
      </c>
      <c r="X82">
        <v>0.23150000000000001</v>
      </c>
      <c r="Y82">
        <v>0.01</v>
      </c>
      <c r="Z82">
        <v>11555</v>
      </c>
      <c r="AA82">
        <v>1.1999999999999999E-3</v>
      </c>
      <c r="AB82">
        <v>30</v>
      </c>
      <c r="AC82">
        <v>21.87</v>
      </c>
      <c r="AD82">
        <v>0.72</v>
      </c>
      <c r="AE82">
        <v>-8.2799999999999994</v>
      </c>
      <c r="AF82">
        <v>0.67</v>
      </c>
      <c r="AG82">
        <v>4.9000000000000004</v>
      </c>
      <c r="AH82">
        <v>6666.69</v>
      </c>
      <c r="AI82">
        <v>35.81</v>
      </c>
      <c r="AJ82">
        <v>11.5</v>
      </c>
      <c r="AK82">
        <v>10.35</v>
      </c>
    </row>
    <row r="83" spans="1:37" x14ac:dyDescent="0.35">
      <c r="A83" t="s">
        <v>64</v>
      </c>
      <c r="B83" t="s">
        <v>65</v>
      </c>
      <c r="C83">
        <v>4</v>
      </c>
      <c r="D83" t="s">
        <v>57</v>
      </c>
      <c r="E83" t="s">
        <v>40</v>
      </c>
      <c r="F83">
        <v>1</v>
      </c>
      <c r="G83" t="s">
        <v>41</v>
      </c>
      <c r="H83">
        <v>8</v>
      </c>
      <c r="I83">
        <v>8</v>
      </c>
      <c r="J83" t="s">
        <v>42</v>
      </c>
      <c r="K83">
        <v>2</v>
      </c>
      <c r="L83">
        <v>0.47849999999999998</v>
      </c>
      <c r="M83">
        <v>50</v>
      </c>
      <c r="N83">
        <v>40</v>
      </c>
      <c r="O83">
        <v>10</v>
      </c>
      <c r="P83">
        <v>1.25</v>
      </c>
      <c r="Q83">
        <f t="shared" si="1"/>
        <v>0.2</v>
      </c>
      <c r="R83">
        <v>40</v>
      </c>
      <c r="S83">
        <v>0</v>
      </c>
      <c r="T83">
        <v>0</v>
      </c>
      <c r="U83">
        <v>962880</v>
      </c>
      <c r="V83">
        <v>962880</v>
      </c>
      <c r="W83">
        <v>100</v>
      </c>
      <c r="X83">
        <v>0.38579999999999998</v>
      </c>
      <c r="Y83">
        <v>0.02</v>
      </c>
      <c r="Z83">
        <v>19258</v>
      </c>
      <c r="AA83">
        <v>2.0999999999999999E-3</v>
      </c>
      <c r="AB83">
        <v>30</v>
      </c>
      <c r="AC83">
        <v>21.87</v>
      </c>
      <c r="AD83">
        <v>0.72</v>
      </c>
      <c r="AE83">
        <v>-8.57</v>
      </c>
      <c r="AF83">
        <v>0.73</v>
      </c>
      <c r="AG83">
        <v>6.25</v>
      </c>
      <c r="AH83">
        <v>6666.69</v>
      </c>
      <c r="AI83">
        <v>35.81</v>
      </c>
      <c r="AJ83">
        <v>12.63</v>
      </c>
      <c r="AK83">
        <v>11.21</v>
      </c>
    </row>
    <row r="84" spans="1:37" x14ac:dyDescent="0.35">
      <c r="A84" t="s">
        <v>66</v>
      </c>
      <c r="B84" t="s">
        <v>67</v>
      </c>
      <c r="C84">
        <v>6</v>
      </c>
      <c r="D84" t="s">
        <v>57</v>
      </c>
      <c r="E84" t="s">
        <v>40</v>
      </c>
      <c r="F84">
        <v>1</v>
      </c>
      <c r="G84" t="s">
        <v>41</v>
      </c>
      <c r="H84">
        <v>8</v>
      </c>
      <c r="I84">
        <v>8</v>
      </c>
      <c r="J84" t="s">
        <v>42</v>
      </c>
      <c r="K84">
        <v>2</v>
      </c>
      <c r="L84">
        <v>0.47849999999999998</v>
      </c>
      <c r="M84">
        <v>50</v>
      </c>
      <c r="N84">
        <v>50</v>
      </c>
      <c r="O84">
        <v>0</v>
      </c>
      <c r="P84">
        <v>1</v>
      </c>
      <c r="Q84">
        <f t="shared" si="1"/>
        <v>0</v>
      </c>
      <c r="R84">
        <v>50</v>
      </c>
      <c r="S84">
        <v>0</v>
      </c>
      <c r="T84">
        <v>0</v>
      </c>
      <c r="U84">
        <v>1203600</v>
      </c>
      <c r="V84">
        <v>1203600</v>
      </c>
      <c r="W84">
        <v>100</v>
      </c>
      <c r="X84">
        <v>0.48220000000000002</v>
      </c>
      <c r="Y84">
        <v>0.02</v>
      </c>
      <c r="Z84">
        <v>24072</v>
      </c>
      <c r="AA84">
        <v>2.5999999999999999E-3</v>
      </c>
      <c r="AB84">
        <v>30</v>
      </c>
      <c r="AC84">
        <v>21.87</v>
      </c>
      <c r="AD84">
        <v>0.72</v>
      </c>
      <c r="AE84">
        <v>-8.77</v>
      </c>
      <c r="AF84">
        <v>0.77</v>
      </c>
      <c r="AG84">
        <v>8.5299999999999994</v>
      </c>
      <c r="AH84">
        <v>6666.69</v>
      </c>
      <c r="AI84">
        <v>35.81</v>
      </c>
      <c r="AJ84">
        <v>14.03</v>
      </c>
      <c r="AK84">
        <v>12.25</v>
      </c>
    </row>
    <row r="85" spans="1:37" x14ac:dyDescent="0.35">
      <c r="A85" t="s">
        <v>68</v>
      </c>
      <c r="B85" t="s">
        <v>69</v>
      </c>
      <c r="C85">
        <v>8</v>
      </c>
      <c r="D85" t="s">
        <v>57</v>
      </c>
      <c r="E85" t="s">
        <v>40</v>
      </c>
      <c r="F85">
        <v>1</v>
      </c>
      <c r="G85" t="s">
        <v>41</v>
      </c>
      <c r="H85">
        <v>8</v>
      </c>
      <c r="I85">
        <v>8</v>
      </c>
      <c r="J85" t="s">
        <v>42</v>
      </c>
      <c r="K85">
        <v>2</v>
      </c>
      <c r="L85">
        <v>0.47849999999999998</v>
      </c>
      <c r="M85">
        <v>50</v>
      </c>
      <c r="N85">
        <v>50</v>
      </c>
      <c r="O85">
        <v>0</v>
      </c>
      <c r="P85">
        <v>1</v>
      </c>
      <c r="Q85">
        <f t="shared" si="1"/>
        <v>0</v>
      </c>
      <c r="R85">
        <v>50</v>
      </c>
      <c r="S85">
        <v>0</v>
      </c>
      <c r="T85">
        <v>0</v>
      </c>
      <c r="U85">
        <v>1203600</v>
      </c>
      <c r="V85">
        <v>1203600</v>
      </c>
      <c r="W85">
        <v>100</v>
      </c>
      <c r="X85">
        <v>0.48220000000000002</v>
      </c>
      <c r="Y85">
        <v>0.02</v>
      </c>
      <c r="Z85">
        <v>24072</v>
      </c>
      <c r="AA85">
        <v>2.5999999999999999E-3</v>
      </c>
      <c r="AB85">
        <v>30</v>
      </c>
      <c r="AC85">
        <v>21.87</v>
      </c>
      <c r="AD85">
        <v>0.72</v>
      </c>
      <c r="AE85">
        <v>-8.9</v>
      </c>
      <c r="AF85">
        <v>0.79</v>
      </c>
      <c r="AG85">
        <v>10.64</v>
      </c>
      <c r="AH85">
        <v>6666.69</v>
      </c>
      <c r="AI85">
        <v>35.81</v>
      </c>
      <c r="AJ85">
        <v>15.65</v>
      </c>
      <c r="AK85">
        <v>13.52</v>
      </c>
    </row>
    <row r="86" spans="1:37" x14ac:dyDescent="0.35">
      <c r="A86" t="s">
        <v>70</v>
      </c>
      <c r="B86" t="s">
        <v>71</v>
      </c>
      <c r="C86">
        <v>0</v>
      </c>
      <c r="D86" t="s">
        <v>72</v>
      </c>
      <c r="E86" t="s">
        <v>40</v>
      </c>
      <c r="F86">
        <v>1</v>
      </c>
      <c r="G86" t="s">
        <v>41</v>
      </c>
      <c r="H86">
        <v>8</v>
      </c>
      <c r="I86">
        <v>8</v>
      </c>
      <c r="J86" t="s">
        <v>42</v>
      </c>
      <c r="K86">
        <v>2</v>
      </c>
      <c r="L86">
        <v>0.47849999999999998</v>
      </c>
      <c r="M86">
        <v>50</v>
      </c>
      <c r="N86">
        <v>12</v>
      </c>
      <c r="O86">
        <v>38</v>
      </c>
      <c r="P86">
        <v>4.17</v>
      </c>
      <c r="Q86">
        <f t="shared" si="1"/>
        <v>0.76</v>
      </c>
      <c r="R86">
        <v>0</v>
      </c>
      <c r="S86">
        <v>12</v>
      </c>
      <c r="T86">
        <v>1</v>
      </c>
      <c r="U86">
        <v>578016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30</v>
      </c>
      <c r="AC86">
        <v>21.87</v>
      </c>
      <c r="AD86">
        <v>0.72</v>
      </c>
      <c r="AE86">
        <v>-7.85</v>
      </c>
      <c r="AF86">
        <v>0.62</v>
      </c>
      <c r="AG86">
        <v>4.0199999999999996</v>
      </c>
      <c r="AH86">
        <v>6666.69</v>
      </c>
      <c r="AI86">
        <v>35.81</v>
      </c>
      <c r="AJ86">
        <v>21.03</v>
      </c>
      <c r="AK86">
        <v>20.34</v>
      </c>
    </row>
    <row r="87" spans="1:37" x14ac:dyDescent="0.35">
      <c r="A87" t="s">
        <v>73</v>
      </c>
      <c r="B87" t="s">
        <v>74</v>
      </c>
      <c r="C87">
        <v>0</v>
      </c>
      <c r="D87" t="s">
        <v>72</v>
      </c>
      <c r="E87" t="s">
        <v>40</v>
      </c>
      <c r="F87">
        <v>2</v>
      </c>
      <c r="G87" t="s">
        <v>41</v>
      </c>
      <c r="H87">
        <v>8</v>
      </c>
      <c r="I87">
        <v>8</v>
      </c>
      <c r="J87" t="s">
        <v>42</v>
      </c>
      <c r="K87">
        <v>2</v>
      </c>
      <c r="L87">
        <v>0.47849999999999998</v>
      </c>
      <c r="M87">
        <v>50</v>
      </c>
      <c r="N87">
        <v>13</v>
      </c>
      <c r="O87">
        <v>37</v>
      </c>
      <c r="P87">
        <v>3.85</v>
      </c>
      <c r="Q87">
        <f t="shared" si="1"/>
        <v>0.74</v>
      </c>
      <c r="R87">
        <v>0</v>
      </c>
      <c r="S87">
        <v>12</v>
      </c>
      <c r="T87">
        <v>0.92310000000000003</v>
      </c>
      <c r="U87">
        <v>626184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30</v>
      </c>
      <c r="AC87">
        <v>21.87</v>
      </c>
      <c r="AD87">
        <v>0.72</v>
      </c>
      <c r="AE87">
        <v>-7.84</v>
      </c>
      <c r="AF87">
        <v>0.61</v>
      </c>
      <c r="AG87">
        <v>3.87</v>
      </c>
      <c r="AH87">
        <v>6666.69</v>
      </c>
      <c r="AI87">
        <v>35.81</v>
      </c>
      <c r="AJ87">
        <v>21.06</v>
      </c>
      <c r="AK87">
        <v>20.3</v>
      </c>
    </row>
    <row r="88" spans="1:37" x14ac:dyDescent="0.35">
      <c r="A88" t="s">
        <v>75</v>
      </c>
      <c r="B88" t="s">
        <v>76</v>
      </c>
      <c r="C88">
        <v>0</v>
      </c>
      <c r="D88" t="s">
        <v>72</v>
      </c>
      <c r="E88" t="s">
        <v>40</v>
      </c>
      <c r="F88">
        <v>4</v>
      </c>
      <c r="G88" t="s">
        <v>41</v>
      </c>
      <c r="H88">
        <v>8</v>
      </c>
      <c r="I88">
        <v>8</v>
      </c>
      <c r="J88" t="s">
        <v>42</v>
      </c>
      <c r="K88">
        <v>2</v>
      </c>
      <c r="L88">
        <v>0.47849999999999998</v>
      </c>
      <c r="M88">
        <v>50</v>
      </c>
      <c r="N88">
        <v>14</v>
      </c>
      <c r="O88">
        <v>36</v>
      </c>
      <c r="P88">
        <v>3.57</v>
      </c>
      <c r="Q88">
        <f t="shared" si="1"/>
        <v>0.72</v>
      </c>
      <c r="R88">
        <v>0</v>
      </c>
      <c r="S88">
        <v>11</v>
      </c>
      <c r="T88">
        <v>0.78569999999999995</v>
      </c>
      <c r="U88">
        <v>674352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30</v>
      </c>
      <c r="AC88">
        <v>21.87</v>
      </c>
      <c r="AD88">
        <v>0.72</v>
      </c>
      <c r="AE88">
        <v>-7.85</v>
      </c>
      <c r="AF88">
        <v>0.62</v>
      </c>
      <c r="AG88">
        <v>3.74</v>
      </c>
      <c r="AH88">
        <v>6666.69</v>
      </c>
      <c r="AI88">
        <v>35.81</v>
      </c>
      <c r="AJ88">
        <v>21.04</v>
      </c>
      <c r="AK88">
        <v>20.309999999999999</v>
      </c>
    </row>
    <row r="89" spans="1:37" x14ac:dyDescent="0.35">
      <c r="A89" t="s">
        <v>77</v>
      </c>
      <c r="B89" t="s">
        <v>78</v>
      </c>
      <c r="C89">
        <v>0</v>
      </c>
      <c r="D89" t="s">
        <v>72</v>
      </c>
      <c r="E89" t="s">
        <v>40</v>
      </c>
      <c r="F89">
        <v>8</v>
      </c>
      <c r="G89" t="s">
        <v>41</v>
      </c>
      <c r="H89">
        <v>8</v>
      </c>
      <c r="I89">
        <v>8</v>
      </c>
      <c r="J89" t="s">
        <v>42</v>
      </c>
      <c r="K89">
        <v>2</v>
      </c>
      <c r="L89">
        <v>0.47849999999999998</v>
      </c>
      <c r="M89">
        <v>50</v>
      </c>
      <c r="N89">
        <v>15</v>
      </c>
      <c r="O89">
        <v>35</v>
      </c>
      <c r="P89">
        <v>3.33</v>
      </c>
      <c r="Q89">
        <f t="shared" si="1"/>
        <v>0.7</v>
      </c>
      <c r="R89">
        <v>0</v>
      </c>
      <c r="S89">
        <v>8</v>
      </c>
      <c r="T89">
        <v>0.5333</v>
      </c>
      <c r="U89">
        <v>722520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30</v>
      </c>
      <c r="AC89">
        <v>21.87</v>
      </c>
      <c r="AD89">
        <v>0.72</v>
      </c>
      <c r="AE89">
        <v>-7.85</v>
      </c>
      <c r="AF89">
        <v>0.61</v>
      </c>
      <c r="AG89">
        <v>3.92</v>
      </c>
      <c r="AH89">
        <v>6666.69</v>
      </c>
      <c r="AI89">
        <v>35.81</v>
      </c>
      <c r="AJ89">
        <v>21.04</v>
      </c>
      <c r="AK89">
        <v>20.28</v>
      </c>
    </row>
    <row r="90" spans="1:37" x14ac:dyDescent="0.35">
      <c r="A90" t="s">
        <v>79</v>
      </c>
      <c r="B90" t="s">
        <v>80</v>
      </c>
      <c r="C90">
        <v>0</v>
      </c>
      <c r="D90" t="s">
        <v>72</v>
      </c>
      <c r="E90" t="s">
        <v>40</v>
      </c>
      <c r="F90">
        <v>16</v>
      </c>
      <c r="G90" t="s">
        <v>41</v>
      </c>
      <c r="H90">
        <v>8</v>
      </c>
      <c r="I90">
        <v>8</v>
      </c>
      <c r="J90" t="s">
        <v>42</v>
      </c>
      <c r="K90">
        <v>2</v>
      </c>
      <c r="L90">
        <v>0.47849999999999998</v>
      </c>
      <c r="M90">
        <v>50</v>
      </c>
      <c r="N90">
        <v>15</v>
      </c>
      <c r="O90">
        <v>35</v>
      </c>
      <c r="P90">
        <v>3.33</v>
      </c>
      <c r="Q90">
        <f t="shared" si="1"/>
        <v>0.7</v>
      </c>
      <c r="R90">
        <v>0</v>
      </c>
      <c r="S90">
        <v>0</v>
      </c>
      <c r="T90">
        <v>0</v>
      </c>
      <c r="U90">
        <v>722520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30</v>
      </c>
      <c r="AC90">
        <v>21.87</v>
      </c>
      <c r="AD90">
        <v>0.72</v>
      </c>
      <c r="AE90">
        <v>-7.85</v>
      </c>
      <c r="AF90">
        <v>0.61</v>
      </c>
      <c r="AG90">
        <v>4.4000000000000004</v>
      </c>
      <c r="AH90">
        <v>6666.69</v>
      </c>
      <c r="AI90">
        <v>35.81</v>
      </c>
      <c r="AJ90">
        <v>21.04</v>
      </c>
      <c r="AK90">
        <v>20.32</v>
      </c>
    </row>
    <row r="91" spans="1:37" x14ac:dyDescent="0.35">
      <c r="A91" t="s">
        <v>81</v>
      </c>
      <c r="B91" t="s">
        <v>82</v>
      </c>
      <c r="C91">
        <v>0</v>
      </c>
      <c r="D91" t="s">
        <v>72</v>
      </c>
      <c r="E91" t="s">
        <v>83</v>
      </c>
      <c r="F91">
        <v>0</v>
      </c>
      <c r="G91" t="s">
        <v>41</v>
      </c>
      <c r="H91">
        <v>8</v>
      </c>
      <c r="I91">
        <v>8</v>
      </c>
      <c r="J91" t="s">
        <v>42</v>
      </c>
      <c r="K91">
        <v>2</v>
      </c>
      <c r="L91">
        <v>0.47849999999999998</v>
      </c>
      <c r="M91">
        <v>50</v>
      </c>
      <c r="N91">
        <v>50</v>
      </c>
      <c r="O91">
        <v>0</v>
      </c>
      <c r="P91">
        <v>1</v>
      </c>
      <c r="Q91">
        <f t="shared" si="1"/>
        <v>0</v>
      </c>
      <c r="R91">
        <v>0</v>
      </c>
      <c r="S91">
        <v>50</v>
      </c>
      <c r="T91">
        <v>1</v>
      </c>
      <c r="U91">
        <v>2408400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30</v>
      </c>
      <c r="AC91">
        <v>21.87</v>
      </c>
      <c r="AD91">
        <v>0.72</v>
      </c>
      <c r="AE91">
        <v>-7.86</v>
      </c>
      <c r="AF91">
        <v>0.61</v>
      </c>
      <c r="AG91">
        <v>4.3899999999999997</v>
      </c>
      <c r="AH91">
        <v>6666.69</v>
      </c>
      <c r="AI91">
        <v>35.81</v>
      </c>
      <c r="AJ91">
        <v>21.04</v>
      </c>
      <c r="AK91">
        <v>20.309999999999999</v>
      </c>
    </row>
    <row r="92" spans="1:37" x14ac:dyDescent="0.35">
      <c r="A92" t="s">
        <v>84</v>
      </c>
      <c r="B92" t="s">
        <v>85</v>
      </c>
      <c r="C92">
        <v>10</v>
      </c>
      <c r="D92" t="s">
        <v>72</v>
      </c>
      <c r="E92" t="s">
        <v>40</v>
      </c>
      <c r="F92">
        <v>1</v>
      </c>
      <c r="G92" t="s">
        <v>41</v>
      </c>
      <c r="H92">
        <v>8</v>
      </c>
      <c r="I92">
        <v>8</v>
      </c>
      <c r="J92" t="s">
        <v>42</v>
      </c>
      <c r="K92">
        <v>2</v>
      </c>
      <c r="L92">
        <v>0.47849999999999998</v>
      </c>
      <c r="M92">
        <v>50</v>
      </c>
      <c r="N92">
        <v>25</v>
      </c>
      <c r="O92">
        <v>25</v>
      </c>
      <c r="P92">
        <v>2</v>
      </c>
      <c r="Q92">
        <f t="shared" si="1"/>
        <v>0.5</v>
      </c>
      <c r="R92">
        <v>25</v>
      </c>
      <c r="S92">
        <v>0</v>
      </c>
      <c r="T92">
        <v>0</v>
      </c>
      <c r="U92">
        <v>1204200</v>
      </c>
      <c r="V92">
        <v>1204200</v>
      </c>
      <c r="W92">
        <v>100</v>
      </c>
      <c r="X92">
        <v>0.2412</v>
      </c>
      <c r="Y92">
        <v>0.02</v>
      </c>
      <c r="Z92">
        <v>24084</v>
      </c>
      <c r="AA92">
        <v>2.5999999999999999E-3</v>
      </c>
      <c r="AB92">
        <v>30</v>
      </c>
      <c r="AC92">
        <v>21.87</v>
      </c>
      <c r="AD92">
        <v>0.72</v>
      </c>
      <c r="AE92">
        <v>-8.9700000000000006</v>
      </c>
      <c r="AF92">
        <v>0.8</v>
      </c>
      <c r="AG92">
        <v>10.19</v>
      </c>
      <c r="AH92">
        <v>6666.69</v>
      </c>
      <c r="AI92">
        <v>35.81</v>
      </c>
      <c r="AJ92">
        <v>23.38</v>
      </c>
      <c r="AK92">
        <v>22.86</v>
      </c>
    </row>
    <row r="93" spans="1:37" x14ac:dyDescent="0.35">
      <c r="A93" t="s">
        <v>86</v>
      </c>
      <c r="B93" t="s">
        <v>87</v>
      </c>
      <c r="C93">
        <v>10</v>
      </c>
      <c r="D93" t="s">
        <v>72</v>
      </c>
      <c r="E93" t="s">
        <v>40</v>
      </c>
      <c r="F93">
        <v>2</v>
      </c>
      <c r="G93" t="s">
        <v>41</v>
      </c>
      <c r="H93">
        <v>8</v>
      </c>
      <c r="I93">
        <v>8</v>
      </c>
      <c r="J93" t="s">
        <v>42</v>
      </c>
      <c r="K93">
        <v>2</v>
      </c>
      <c r="L93">
        <v>0.47849999999999998</v>
      </c>
      <c r="M93">
        <v>50</v>
      </c>
      <c r="N93">
        <v>25</v>
      </c>
      <c r="O93">
        <v>25</v>
      </c>
      <c r="P93">
        <v>2</v>
      </c>
      <c r="Q93">
        <f t="shared" si="1"/>
        <v>0.5</v>
      </c>
      <c r="R93">
        <v>24</v>
      </c>
      <c r="S93">
        <v>0</v>
      </c>
      <c r="T93">
        <v>0</v>
      </c>
      <c r="U93">
        <v>1204200</v>
      </c>
      <c r="V93">
        <v>1156032</v>
      </c>
      <c r="W93">
        <v>96</v>
      </c>
      <c r="X93">
        <v>0.2316</v>
      </c>
      <c r="Y93">
        <v>0.02</v>
      </c>
      <c r="Z93">
        <v>23121</v>
      </c>
      <c r="AA93">
        <v>2.5000000000000001E-3</v>
      </c>
      <c r="AB93">
        <v>30</v>
      </c>
      <c r="AC93">
        <v>21.87</v>
      </c>
      <c r="AD93">
        <v>0.72</v>
      </c>
      <c r="AE93">
        <v>-8.98</v>
      </c>
      <c r="AF93">
        <v>0.81</v>
      </c>
      <c r="AG93">
        <v>11.13</v>
      </c>
      <c r="AH93">
        <v>6666.69</v>
      </c>
      <c r="AI93">
        <v>35.81</v>
      </c>
      <c r="AJ93">
        <v>23.35</v>
      </c>
      <c r="AK93">
        <v>22.85</v>
      </c>
    </row>
    <row r="94" spans="1:37" x14ac:dyDescent="0.35">
      <c r="A94" t="s">
        <v>88</v>
      </c>
      <c r="B94" t="s">
        <v>89</v>
      </c>
      <c r="C94">
        <v>10</v>
      </c>
      <c r="D94" t="s">
        <v>72</v>
      </c>
      <c r="E94" t="s">
        <v>40</v>
      </c>
      <c r="F94">
        <v>4</v>
      </c>
      <c r="G94" t="s">
        <v>41</v>
      </c>
      <c r="H94">
        <v>8</v>
      </c>
      <c r="I94">
        <v>8</v>
      </c>
      <c r="J94" t="s">
        <v>42</v>
      </c>
      <c r="K94">
        <v>2</v>
      </c>
      <c r="L94">
        <v>0.47849999999999998</v>
      </c>
      <c r="M94">
        <v>50</v>
      </c>
      <c r="N94">
        <v>26</v>
      </c>
      <c r="O94">
        <v>24</v>
      </c>
      <c r="P94">
        <v>1.92</v>
      </c>
      <c r="Q94">
        <f t="shared" si="1"/>
        <v>0.48</v>
      </c>
      <c r="R94">
        <v>24</v>
      </c>
      <c r="S94">
        <v>0</v>
      </c>
      <c r="T94">
        <v>0</v>
      </c>
      <c r="U94">
        <v>1252368</v>
      </c>
      <c r="V94">
        <v>1156032</v>
      </c>
      <c r="W94">
        <v>92.31</v>
      </c>
      <c r="X94">
        <v>0.2316</v>
      </c>
      <c r="Y94">
        <v>0.02</v>
      </c>
      <c r="Z94">
        <v>23121</v>
      </c>
      <c r="AA94">
        <v>2.5000000000000001E-3</v>
      </c>
      <c r="AB94">
        <v>30</v>
      </c>
      <c r="AC94">
        <v>21.87</v>
      </c>
      <c r="AD94">
        <v>0.72</v>
      </c>
      <c r="AE94">
        <v>-8.98</v>
      </c>
      <c r="AF94">
        <v>0.81</v>
      </c>
      <c r="AG94">
        <v>12.24</v>
      </c>
      <c r="AH94">
        <v>6666.69</v>
      </c>
      <c r="AI94">
        <v>35.81</v>
      </c>
      <c r="AJ94">
        <v>23.38</v>
      </c>
      <c r="AK94">
        <v>22.86</v>
      </c>
    </row>
    <row r="95" spans="1:37" x14ac:dyDescent="0.35">
      <c r="A95" t="s">
        <v>90</v>
      </c>
      <c r="B95" t="s">
        <v>91</v>
      </c>
      <c r="C95">
        <v>10</v>
      </c>
      <c r="D95" t="s">
        <v>72</v>
      </c>
      <c r="E95" t="s">
        <v>40</v>
      </c>
      <c r="F95">
        <v>8</v>
      </c>
      <c r="G95" t="s">
        <v>41</v>
      </c>
      <c r="H95">
        <v>8</v>
      </c>
      <c r="I95">
        <v>8</v>
      </c>
      <c r="J95" t="s">
        <v>42</v>
      </c>
      <c r="K95">
        <v>2</v>
      </c>
      <c r="L95">
        <v>0.47849999999999998</v>
      </c>
      <c r="M95">
        <v>50</v>
      </c>
      <c r="N95">
        <v>26</v>
      </c>
      <c r="O95">
        <v>24</v>
      </c>
      <c r="P95">
        <v>1.92</v>
      </c>
      <c r="Q95">
        <f t="shared" si="1"/>
        <v>0.48</v>
      </c>
      <c r="R95">
        <v>24</v>
      </c>
      <c r="S95">
        <v>0</v>
      </c>
      <c r="T95">
        <v>0</v>
      </c>
      <c r="U95">
        <v>1252368</v>
      </c>
      <c r="V95">
        <v>1156032</v>
      </c>
      <c r="W95">
        <v>92.31</v>
      </c>
      <c r="X95">
        <v>0.2316</v>
      </c>
      <c r="Y95">
        <v>0.02</v>
      </c>
      <c r="Z95">
        <v>23121</v>
      </c>
      <c r="AA95">
        <v>2.5000000000000001E-3</v>
      </c>
      <c r="AB95">
        <v>30</v>
      </c>
      <c r="AC95">
        <v>21.87</v>
      </c>
      <c r="AD95">
        <v>0.72</v>
      </c>
      <c r="AE95">
        <v>-8.98</v>
      </c>
      <c r="AF95">
        <v>0.8</v>
      </c>
      <c r="AG95">
        <v>11.98</v>
      </c>
      <c r="AH95">
        <v>6666.69</v>
      </c>
      <c r="AI95">
        <v>35.81</v>
      </c>
      <c r="AJ95">
        <v>23.36</v>
      </c>
      <c r="AK95">
        <v>22.85</v>
      </c>
    </row>
    <row r="96" spans="1:37" x14ac:dyDescent="0.35">
      <c r="A96" t="s">
        <v>92</v>
      </c>
      <c r="B96" t="s">
        <v>93</v>
      </c>
      <c r="C96">
        <v>10</v>
      </c>
      <c r="D96" t="s">
        <v>72</v>
      </c>
      <c r="E96" t="s">
        <v>40</v>
      </c>
      <c r="F96">
        <v>16</v>
      </c>
      <c r="G96" t="s">
        <v>41</v>
      </c>
      <c r="H96">
        <v>8</v>
      </c>
      <c r="I96">
        <v>8</v>
      </c>
      <c r="J96" t="s">
        <v>42</v>
      </c>
      <c r="K96">
        <v>2</v>
      </c>
      <c r="L96">
        <v>0.47849999999999998</v>
      </c>
      <c r="M96">
        <v>50</v>
      </c>
      <c r="N96">
        <v>31</v>
      </c>
      <c r="O96">
        <v>19</v>
      </c>
      <c r="P96">
        <v>1.61</v>
      </c>
      <c r="Q96">
        <f t="shared" si="1"/>
        <v>0.38</v>
      </c>
      <c r="R96">
        <v>18</v>
      </c>
      <c r="S96">
        <v>0</v>
      </c>
      <c r="T96">
        <v>0</v>
      </c>
      <c r="U96">
        <v>1493208</v>
      </c>
      <c r="V96">
        <v>867024</v>
      </c>
      <c r="W96">
        <v>58.06</v>
      </c>
      <c r="X96">
        <v>0.17369999999999999</v>
      </c>
      <c r="Y96">
        <v>0.02</v>
      </c>
      <c r="Z96">
        <v>17340</v>
      </c>
      <c r="AA96">
        <v>1.9E-3</v>
      </c>
      <c r="AB96">
        <v>30</v>
      </c>
      <c r="AC96">
        <v>21.87</v>
      </c>
      <c r="AD96">
        <v>0.72</v>
      </c>
      <c r="AE96">
        <v>-8.99</v>
      </c>
      <c r="AF96">
        <v>0.8</v>
      </c>
      <c r="AG96">
        <v>12.38</v>
      </c>
      <c r="AH96">
        <v>6666.69</v>
      </c>
      <c r="AI96">
        <v>35.81</v>
      </c>
      <c r="AJ96">
        <v>23.35</v>
      </c>
      <c r="AK96">
        <v>22.85</v>
      </c>
    </row>
    <row r="97" spans="1:37" x14ac:dyDescent="0.35">
      <c r="A97" t="s">
        <v>94</v>
      </c>
      <c r="B97" t="s">
        <v>95</v>
      </c>
      <c r="C97">
        <v>10</v>
      </c>
      <c r="D97" t="s">
        <v>72</v>
      </c>
      <c r="E97" t="s">
        <v>83</v>
      </c>
      <c r="F97">
        <v>0</v>
      </c>
      <c r="G97" t="s">
        <v>41</v>
      </c>
      <c r="H97">
        <v>8</v>
      </c>
      <c r="I97">
        <v>8</v>
      </c>
      <c r="J97" t="s">
        <v>42</v>
      </c>
      <c r="K97">
        <v>2</v>
      </c>
      <c r="L97">
        <v>0.47849999999999998</v>
      </c>
      <c r="M97">
        <v>50</v>
      </c>
      <c r="N97">
        <v>50</v>
      </c>
      <c r="O97">
        <v>0</v>
      </c>
      <c r="P97">
        <v>1</v>
      </c>
      <c r="Q97">
        <f t="shared" si="1"/>
        <v>0</v>
      </c>
      <c r="R97">
        <v>0</v>
      </c>
      <c r="S97">
        <v>50</v>
      </c>
      <c r="T97">
        <v>1</v>
      </c>
      <c r="U97">
        <v>2408400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30</v>
      </c>
      <c r="AC97">
        <v>21.87</v>
      </c>
      <c r="AD97">
        <v>0.72</v>
      </c>
      <c r="AE97">
        <v>-8.99</v>
      </c>
      <c r="AF97">
        <v>0.8</v>
      </c>
      <c r="AG97">
        <v>13.02</v>
      </c>
      <c r="AH97">
        <v>6666.69</v>
      </c>
      <c r="AI97">
        <v>35.81</v>
      </c>
      <c r="AJ97">
        <v>23.36</v>
      </c>
      <c r="AK97">
        <v>22.84</v>
      </c>
    </row>
    <row r="98" spans="1:37" x14ac:dyDescent="0.35">
      <c r="A98" t="s">
        <v>96</v>
      </c>
      <c r="B98" t="s">
        <v>97</v>
      </c>
      <c r="C98">
        <v>12</v>
      </c>
      <c r="D98" t="s">
        <v>72</v>
      </c>
      <c r="E98" t="s">
        <v>40</v>
      </c>
      <c r="F98">
        <v>1</v>
      </c>
      <c r="G98" t="s">
        <v>41</v>
      </c>
      <c r="H98">
        <v>8</v>
      </c>
      <c r="I98">
        <v>8</v>
      </c>
      <c r="J98" t="s">
        <v>42</v>
      </c>
      <c r="K98">
        <v>2</v>
      </c>
      <c r="L98">
        <v>0.47849999999999998</v>
      </c>
      <c r="M98">
        <v>50</v>
      </c>
      <c r="N98">
        <v>25</v>
      </c>
      <c r="O98">
        <v>25</v>
      </c>
      <c r="P98">
        <v>2</v>
      </c>
      <c r="Q98">
        <f t="shared" si="1"/>
        <v>0.5</v>
      </c>
      <c r="R98">
        <v>25</v>
      </c>
      <c r="S98">
        <v>0</v>
      </c>
      <c r="T98">
        <v>0</v>
      </c>
      <c r="U98">
        <v>1204200</v>
      </c>
      <c r="V98">
        <v>1204200</v>
      </c>
      <c r="W98">
        <v>100</v>
      </c>
      <c r="X98">
        <v>0.2412</v>
      </c>
      <c r="Y98">
        <v>0.02</v>
      </c>
      <c r="Z98">
        <v>24084</v>
      </c>
      <c r="AA98">
        <v>2.5999999999999999E-3</v>
      </c>
      <c r="AB98">
        <v>30</v>
      </c>
      <c r="AC98">
        <v>21.87</v>
      </c>
      <c r="AD98">
        <v>0.72</v>
      </c>
      <c r="AE98">
        <v>-8.9600000000000009</v>
      </c>
      <c r="AF98">
        <v>0.86</v>
      </c>
      <c r="AG98">
        <v>10.28</v>
      </c>
      <c r="AH98">
        <v>6666.69</v>
      </c>
      <c r="AI98">
        <v>35.81</v>
      </c>
      <c r="AJ98">
        <v>23.57</v>
      </c>
      <c r="AK98">
        <v>23.03</v>
      </c>
    </row>
    <row r="99" spans="1:37" x14ac:dyDescent="0.35">
      <c r="A99" t="s">
        <v>98</v>
      </c>
      <c r="B99" t="s">
        <v>99</v>
      </c>
      <c r="C99">
        <v>12</v>
      </c>
      <c r="D99" t="s">
        <v>72</v>
      </c>
      <c r="E99" t="s">
        <v>40</v>
      </c>
      <c r="F99">
        <v>2</v>
      </c>
      <c r="G99" t="s">
        <v>41</v>
      </c>
      <c r="H99">
        <v>8</v>
      </c>
      <c r="I99">
        <v>8</v>
      </c>
      <c r="J99" t="s">
        <v>42</v>
      </c>
      <c r="K99">
        <v>2</v>
      </c>
      <c r="L99">
        <v>0.47849999999999998</v>
      </c>
      <c r="M99">
        <v>50</v>
      </c>
      <c r="N99">
        <v>25</v>
      </c>
      <c r="O99">
        <v>25</v>
      </c>
      <c r="P99">
        <v>2</v>
      </c>
      <c r="Q99">
        <f t="shared" si="1"/>
        <v>0.5</v>
      </c>
      <c r="R99">
        <v>24</v>
      </c>
      <c r="S99">
        <v>0</v>
      </c>
      <c r="T99">
        <v>0</v>
      </c>
      <c r="U99">
        <v>1204200</v>
      </c>
      <c r="V99">
        <v>1156032</v>
      </c>
      <c r="W99">
        <v>96</v>
      </c>
      <c r="X99">
        <v>0.2316</v>
      </c>
      <c r="Y99">
        <v>0.02</v>
      </c>
      <c r="Z99">
        <v>23121</v>
      </c>
      <c r="AA99">
        <v>2.5000000000000001E-3</v>
      </c>
      <c r="AB99">
        <v>30</v>
      </c>
      <c r="AC99">
        <v>21.87</v>
      </c>
      <c r="AD99">
        <v>0.72</v>
      </c>
      <c r="AE99">
        <v>-8.9600000000000009</v>
      </c>
      <c r="AF99">
        <v>0.86</v>
      </c>
      <c r="AG99">
        <v>11.15</v>
      </c>
      <c r="AH99">
        <v>6666.69</v>
      </c>
      <c r="AI99">
        <v>35.81</v>
      </c>
      <c r="AJ99">
        <v>23.56</v>
      </c>
      <c r="AK99">
        <v>23.04</v>
      </c>
    </row>
    <row r="100" spans="1:37" x14ac:dyDescent="0.35">
      <c r="A100" t="s">
        <v>100</v>
      </c>
      <c r="B100" t="s">
        <v>101</v>
      </c>
      <c r="C100">
        <v>12</v>
      </c>
      <c r="D100" t="s">
        <v>72</v>
      </c>
      <c r="E100" t="s">
        <v>40</v>
      </c>
      <c r="F100">
        <v>4</v>
      </c>
      <c r="G100" t="s">
        <v>41</v>
      </c>
      <c r="H100">
        <v>8</v>
      </c>
      <c r="I100">
        <v>8</v>
      </c>
      <c r="J100" t="s">
        <v>42</v>
      </c>
      <c r="K100">
        <v>2</v>
      </c>
      <c r="L100">
        <v>0.47849999999999998</v>
      </c>
      <c r="M100">
        <v>50</v>
      </c>
      <c r="N100">
        <v>26</v>
      </c>
      <c r="O100">
        <v>24</v>
      </c>
      <c r="P100">
        <v>1.92</v>
      </c>
      <c r="Q100">
        <f t="shared" si="1"/>
        <v>0.48</v>
      </c>
      <c r="R100">
        <v>24</v>
      </c>
      <c r="S100">
        <v>0</v>
      </c>
      <c r="T100">
        <v>0</v>
      </c>
      <c r="U100">
        <v>1252368</v>
      </c>
      <c r="V100">
        <v>1156032</v>
      </c>
      <c r="W100">
        <v>92.31</v>
      </c>
      <c r="X100">
        <v>0.2316</v>
      </c>
      <c r="Y100">
        <v>0.02</v>
      </c>
      <c r="Z100">
        <v>23121</v>
      </c>
      <c r="AA100">
        <v>2.5000000000000001E-3</v>
      </c>
      <c r="AB100">
        <v>30</v>
      </c>
      <c r="AC100">
        <v>21.87</v>
      </c>
      <c r="AD100">
        <v>0.72</v>
      </c>
      <c r="AE100">
        <v>-8.9700000000000006</v>
      </c>
      <c r="AF100">
        <v>0.86</v>
      </c>
      <c r="AG100">
        <v>11.79</v>
      </c>
      <c r="AH100">
        <v>6666.69</v>
      </c>
      <c r="AI100">
        <v>35.81</v>
      </c>
      <c r="AJ100">
        <v>23.58</v>
      </c>
      <c r="AK100">
        <v>23.03</v>
      </c>
    </row>
    <row r="101" spans="1:37" x14ac:dyDescent="0.35">
      <c r="A101" t="s">
        <v>102</v>
      </c>
      <c r="B101" t="s">
        <v>103</v>
      </c>
      <c r="C101">
        <v>12</v>
      </c>
      <c r="D101" t="s">
        <v>72</v>
      </c>
      <c r="E101" t="s">
        <v>40</v>
      </c>
      <c r="F101">
        <v>8</v>
      </c>
      <c r="G101" t="s">
        <v>41</v>
      </c>
      <c r="H101">
        <v>8</v>
      </c>
      <c r="I101">
        <v>8</v>
      </c>
      <c r="J101" t="s">
        <v>42</v>
      </c>
      <c r="K101">
        <v>2</v>
      </c>
      <c r="L101">
        <v>0.47849999999999998</v>
      </c>
      <c r="M101">
        <v>50</v>
      </c>
      <c r="N101">
        <v>27</v>
      </c>
      <c r="O101">
        <v>23</v>
      </c>
      <c r="P101">
        <v>1.85</v>
      </c>
      <c r="Q101">
        <f t="shared" si="1"/>
        <v>0.46</v>
      </c>
      <c r="R101">
        <v>25</v>
      </c>
      <c r="S101">
        <v>0</v>
      </c>
      <c r="T101">
        <v>0</v>
      </c>
      <c r="U101">
        <v>1300536</v>
      </c>
      <c r="V101">
        <v>1204200</v>
      </c>
      <c r="W101">
        <v>92.59</v>
      </c>
      <c r="X101">
        <v>0.2412</v>
      </c>
      <c r="Y101">
        <v>0.02</v>
      </c>
      <c r="Z101">
        <v>24084</v>
      </c>
      <c r="AA101">
        <v>2.5999999999999999E-3</v>
      </c>
      <c r="AB101">
        <v>30</v>
      </c>
      <c r="AC101">
        <v>21.87</v>
      </c>
      <c r="AD101">
        <v>0.72</v>
      </c>
      <c r="AE101">
        <v>-8.9700000000000006</v>
      </c>
      <c r="AF101">
        <v>0.86</v>
      </c>
      <c r="AG101">
        <v>12.68</v>
      </c>
      <c r="AH101">
        <v>6666.69</v>
      </c>
      <c r="AI101">
        <v>35.81</v>
      </c>
      <c r="AJ101">
        <v>23.57</v>
      </c>
      <c r="AK101">
        <v>23.04</v>
      </c>
    </row>
    <row r="102" spans="1:37" x14ac:dyDescent="0.35">
      <c r="A102" t="s">
        <v>104</v>
      </c>
      <c r="B102" t="s">
        <v>105</v>
      </c>
      <c r="C102">
        <v>12</v>
      </c>
      <c r="D102" t="s">
        <v>72</v>
      </c>
      <c r="E102" t="s">
        <v>40</v>
      </c>
      <c r="F102">
        <v>16</v>
      </c>
      <c r="G102" t="s">
        <v>41</v>
      </c>
      <c r="H102">
        <v>8</v>
      </c>
      <c r="I102">
        <v>8</v>
      </c>
      <c r="J102" t="s">
        <v>42</v>
      </c>
      <c r="K102">
        <v>2</v>
      </c>
      <c r="L102">
        <v>0.47849999999999998</v>
      </c>
      <c r="M102">
        <v>50</v>
      </c>
      <c r="N102">
        <v>31</v>
      </c>
      <c r="O102">
        <v>19</v>
      </c>
      <c r="P102">
        <v>1.61</v>
      </c>
      <c r="Q102">
        <f t="shared" si="1"/>
        <v>0.38</v>
      </c>
      <c r="R102">
        <v>18</v>
      </c>
      <c r="S102">
        <v>0</v>
      </c>
      <c r="T102">
        <v>0</v>
      </c>
      <c r="U102">
        <v>1493208</v>
      </c>
      <c r="V102">
        <v>867024</v>
      </c>
      <c r="W102">
        <v>58.06</v>
      </c>
      <c r="X102">
        <v>0.17369999999999999</v>
      </c>
      <c r="Y102">
        <v>0.02</v>
      </c>
      <c r="Z102">
        <v>17340</v>
      </c>
      <c r="AA102">
        <v>1.9E-3</v>
      </c>
      <c r="AB102">
        <v>30</v>
      </c>
      <c r="AC102">
        <v>21.87</v>
      </c>
      <c r="AD102">
        <v>0.72</v>
      </c>
      <c r="AE102">
        <v>-8.9700000000000006</v>
      </c>
      <c r="AF102">
        <v>0.85</v>
      </c>
      <c r="AG102">
        <v>11.57</v>
      </c>
      <c r="AH102">
        <v>6666.69</v>
      </c>
      <c r="AI102">
        <v>35.81</v>
      </c>
      <c r="AJ102">
        <v>23.56</v>
      </c>
      <c r="AK102">
        <v>23.03</v>
      </c>
    </row>
    <row r="103" spans="1:37" x14ac:dyDescent="0.35">
      <c r="A103" t="s">
        <v>106</v>
      </c>
      <c r="B103" t="s">
        <v>107</v>
      </c>
      <c r="C103">
        <v>12</v>
      </c>
      <c r="D103" t="s">
        <v>72</v>
      </c>
      <c r="E103" t="s">
        <v>83</v>
      </c>
      <c r="F103">
        <v>0</v>
      </c>
      <c r="G103" t="s">
        <v>41</v>
      </c>
      <c r="H103">
        <v>8</v>
      </c>
      <c r="I103">
        <v>8</v>
      </c>
      <c r="J103" t="s">
        <v>42</v>
      </c>
      <c r="K103">
        <v>2</v>
      </c>
      <c r="L103">
        <v>0.47849999999999998</v>
      </c>
      <c r="M103">
        <v>50</v>
      </c>
      <c r="N103">
        <v>50</v>
      </c>
      <c r="O103">
        <v>0</v>
      </c>
      <c r="P103">
        <v>1</v>
      </c>
      <c r="Q103">
        <f t="shared" si="1"/>
        <v>0</v>
      </c>
      <c r="R103">
        <v>0</v>
      </c>
      <c r="S103">
        <v>50</v>
      </c>
      <c r="T103">
        <v>1</v>
      </c>
      <c r="U103">
        <v>2408400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30</v>
      </c>
      <c r="AC103">
        <v>21.87</v>
      </c>
      <c r="AD103">
        <v>0.72</v>
      </c>
      <c r="AE103">
        <v>-8.9700000000000006</v>
      </c>
      <c r="AF103">
        <v>0.86</v>
      </c>
      <c r="AG103">
        <v>11.64</v>
      </c>
      <c r="AH103">
        <v>6666.69</v>
      </c>
      <c r="AI103">
        <v>35.81</v>
      </c>
      <c r="AJ103">
        <v>23.57</v>
      </c>
      <c r="AK103">
        <v>23.02</v>
      </c>
    </row>
    <row r="104" spans="1:37" x14ac:dyDescent="0.35">
      <c r="A104" t="s">
        <v>108</v>
      </c>
      <c r="B104" t="s">
        <v>109</v>
      </c>
      <c r="C104">
        <v>2</v>
      </c>
      <c r="D104" t="s">
        <v>72</v>
      </c>
      <c r="E104" t="s">
        <v>40</v>
      </c>
      <c r="F104">
        <v>1</v>
      </c>
      <c r="G104" t="s">
        <v>41</v>
      </c>
      <c r="H104">
        <v>8</v>
      </c>
      <c r="I104">
        <v>8</v>
      </c>
      <c r="J104" t="s">
        <v>42</v>
      </c>
      <c r="K104">
        <v>2</v>
      </c>
      <c r="L104">
        <v>0.47849999999999998</v>
      </c>
      <c r="M104">
        <v>50</v>
      </c>
      <c r="N104">
        <v>12</v>
      </c>
      <c r="O104">
        <v>38</v>
      </c>
      <c r="P104">
        <v>4.17</v>
      </c>
      <c r="Q104">
        <f t="shared" si="1"/>
        <v>0.76</v>
      </c>
      <c r="R104">
        <v>2</v>
      </c>
      <c r="S104">
        <v>10</v>
      </c>
      <c r="T104">
        <v>0.83330000000000004</v>
      </c>
      <c r="U104">
        <v>578016</v>
      </c>
      <c r="V104">
        <v>96336</v>
      </c>
      <c r="W104">
        <v>16.670000000000002</v>
      </c>
      <c r="X104">
        <v>1.9300000000000001E-2</v>
      </c>
      <c r="Y104">
        <v>0</v>
      </c>
      <c r="Z104">
        <v>1927</v>
      </c>
      <c r="AA104">
        <v>2.0000000000000001E-4</v>
      </c>
      <c r="AB104">
        <v>30</v>
      </c>
      <c r="AC104">
        <v>21.87</v>
      </c>
      <c r="AD104">
        <v>0.72</v>
      </c>
      <c r="AE104">
        <v>-8.2799999999999994</v>
      </c>
      <c r="AF104">
        <v>0.68</v>
      </c>
      <c r="AG104">
        <v>4.88</v>
      </c>
      <c r="AH104">
        <v>6666.69</v>
      </c>
      <c r="AI104">
        <v>35.81</v>
      </c>
      <c r="AJ104">
        <v>21.62</v>
      </c>
      <c r="AK104">
        <v>20.87</v>
      </c>
    </row>
    <row r="105" spans="1:37" x14ac:dyDescent="0.35">
      <c r="A105" t="s">
        <v>110</v>
      </c>
      <c r="B105" t="s">
        <v>111</v>
      </c>
      <c r="C105">
        <v>2</v>
      </c>
      <c r="D105" t="s">
        <v>72</v>
      </c>
      <c r="E105" t="s">
        <v>40</v>
      </c>
      <c r="F105">
        <v>2</v>
      </c>
      <c r="G105" t="s">
        <v>41</v>
      </c>
      <c r="H105">
        <v>8</v>
      </c>
      <c r="I105">
        <v>8</v>
      </c>
      <c r="J105" t="s">
        <v>42</v>
      </c>
      <c r="K105">
        <v>2</v>
      </c>
      <c r="L105">
        <v>0.47849999999999998</v>
      </c>
      <c r="M105">
        <v>50</v>
      </c>
      <c r="N105">
        <v>13</v>
      </c>
      <c r="O105">
        <v>37</v>
      </c>
      <c r="P105">
        <v>3.85</v>
      </c>
      <c r="Q105">
        <f t="shared" si="1"/>
        <v>0.74</v>
      </c>
      <c r="R105">
        <v>2</v>
      </c>
      <c r="S105">
        <v>10</v>
      </c>
      <c r="T105">
        <v>0.76919999999999999</v>
      </c>
      <c r="U105">
        <v>626184</v>
      </c>
      <c r="V105">
        <v>96336</v>
      </c>
      <c r="W105">
        <v>15.38</v>
      </c>
      <c r="X105">
        <v>1.9300000000000001E-2</v>
      </c>
      <c r="Y105">
        <v>0</v>
      </c>
      <c r="Z105">
        <v>1927</v>
      </c>
      <c r="AA105">
        <v>2.0000000000000001E-4</v>
      </c>
      <c r="AB105">
        <v>30</v>
      </c>
      <c r="AC105">
        <v>21.87</v>
      </c>
      <c r="AD105">
        <v>0.72</v>
      </c>
      <c r="AE105">
        <v>-8.27</v>
      </c>
      <c r="AF105">
        <v>0.67</v>
      </c>
      <c r="AG105">
        <v>4.7300000000000004</v>
      </c>
      <c r="AH105">
        <v>6666.69</v>
      </c>
      <c r="AI105">
        <v>35.81</v>
      </c>
      <c r="AJ105">
        <v>21.63</v>
      </c>
      <c r="AK105">
        <v>20.83</v>
      </c>
    </row>
    <row r="106" spans="1:37" x14ac:dyDescent="0.35">
      <c r="A106" t="s">
        <v>112</v>
      </c>
      <c r="B106" t="s">
        <v>113</v>
      </c>
      <c r="C106">
        <v>2</v>
      </c>
      <c r="D106" t="s">
        <v>72</v>
      </c>
      <c r="E106" t="s">
        <v>40</v>
      </c>
      <c r="F106">
        <v>4</v>
      </c>
      <c r="G106" t="s">
        <v>41</v>
      </c>
      <c r="H106">
        <v>8</v>
      </c>
      <c r="I106">
        <v>8</v>
      </c>
      <c r="J106" t="s">
        <v>42</v>
      </c>
      <c r="K106">
        <v>2</v>
      </c>
      <c r="L106">
        <v>0.47849999999999998</v>
      </c>
      <c r="M106">
        <v>50</v>
      </c>
      <c r="N106">
        <v>14</v>
      </c>
      <c r="O106">
        <v>36</v>
      </c>
      <c r="P106">
        <v>3.57</v>
      </c>
      <c r="Q106">
        <f t="shared" si="1"/>
        <v>0.72</v>
      </c>
      <c r="R106">
        <v>2</v>
      </c>
      <c r="S106">
        <v>9</v>
      </c>
      <c r="T106">
        <v>0.64290000000000003</v>
      </c>
      <c r="U106">
        <v>674352</v>
      </c>
      <c r="V106">
        <v>96336</v>
      </c>
      <c r="W106">
        <v>14.29</v>
      </c>
      <c r="X106">
        <v>1.9300000000000001E-2</v>
      </c>
      <c r="Y106">
        <v>0</v>
      </c>
      <c r="Z106">
        <v>1927</v>
      </c>
      <c r="AA106">
        <v>2.0000000000000001E-4</v>
      </c>
      <c r="AB106">
        <v>30</v>
      </c>
      <c r="AC106">
        <v>21.87</v>
      </c>
      <c r="AD106">
        <v>0.72</v>
      </c>
      <c r="AE106">
        <v>-8.2799999999999994</v>
      </c>
      <c r="AF106">
        <v>0.68</v>
      </c>
      <c r="AG106">
        <v>4.51</v>
      </c>
      <c r="AH106">
        <v>6666.69</v>
      </c>
      <c r="AI106">
        <v>35.81</v>
      </c>
      <c r="AJ106">
        <v>21.63</v>
      </c>
      <c r="AK106">
        <v>20.84</v>
      </c>
    </row>
    <row r="107" spans="1:37" x14ac:dyDescent="0.35">
      <c r="A107" t="s">
        <v>114</v>
      </c>
      <c r="B107" t="s">
        <v>115</v>
      </c>
      <c r="C107">
        <v>2</v>
      </c>
      <c r="D107" t="s">
        <v>72</v>
      </c>
      <c r="E107" t="s">
        <v>40</v>
      </c>
      <c r="F107">
        <v>8</v>
      </c>
      <c r="G107" t="s">
        <v>41</v>
      </c>
      <c r="H107">
        <v>8</v>
      </c>
      <c r="I107">
        <v>8</v>
      </c>
      <c r="J107" t="s">
        <v>42</v>
      </c>
      <c r="K107">
        <v>2</v>
      </c>
      <c r="L107">
        <v>0.47849999999999998</v>
      </c>
      <c r="M107">
        <v>50</v>
      </c>
      <c r="N107">
        <v>15</v>
      </c>
      <c r="O107">
        <v>35</v>
      </c>
      <c r="P107">
        <v>3.33</v>
      </c>
      <c r="Q107">
        <f t="shared" si="1"/>
        <v>0.7</v>
      </c>
      <c r="R107">
        <v>0</v>
      </c>
      <c r="S107">
        <v>8</v>
      </c>
      <c r="T107">
        <v>0.5333</v>
      </c>
      <c r="U107">
        <v>722520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30</v>
      </c>
      <c r="AC107">
        <v>21.87</v>
      </c>
      <c r="AD107">
        <v>0.72</v>
      </c>
      <c r="AE107">
        <v>-8.2799999999999994</v>
      </c>
      <c r="AF107">
        <v>0.68</v>
      </c>
      <c r="AG107">
        <v>4.79</v>
      </c>
      <c r="AH107">
        <v>6666.69</v>
      </c>
      <c r="AI107">
        <v>35.81</v>
      </c>
      <c r="AJ107">
        <v>21.63</v>
      </c>
      <c r="AK107">
        <v>20.81</v>
      </c>
    </row>
    <row r="108" spans="1:37" x14ac:dyDescent="0.35">
      <c r="A108" t="s">
        <v>116</v>
      </c>
      <c r="B108" t="s">
        <v>117</v>
      </c>
      <c r="C108">
        <v>2</v>
      </c>
      <c r="D108" t="s">
        <v>72</v>
      </c>
      <c r="E108" t="s">
        <v>40</v>
      </c>
      <c r="F108">
        <v>16</v>
      </c>
      <c r="G108" t="s">
        <v>41</v>
      </c>
      <c r="H108">
        <v>8</v>
      </c>
      <c r="I108">
        <v>8</v>
      </c>
      <c r="J108" t="s">
        <v>42</v>
      </c>
      <c r="K108">
        <v>2</v>
      </c>
      <c r="L108">
        <v>0.47849999999999998</v>
      </c>
      <c r="M108">
        <v>50</v>
      </c>
      <c r="N108">
        <v>15</v>
      </c>
      <c r="O108">
        <v>35</v>
      </c>
      <c r="P108">
        <v>3.33</v>
      </c>
      <c r="Q108">
        <f t="shared" si="1"/>
        <v>0.7</v>
      </c>
      <c r="R108">
        <v>0</v>
      </c>
      <c r="S108">
        <v>0</v>
      </c>
      <c r="T108">
        <v>0</v>
      </c>
      <c r="U108">
        <v>722520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21.87</v>
      </c>
      <c r="AD108">
        <v>0.72</v>
      </c>
      <c r="AE108">
        <v>-8.2799999999999994</v>
      </c>
      <c r="AF108">
        <v>0.67</v>
      </c>
      <c r="AG108">
        <v>5.38</v>
      </c>
      <c r="AH108">
        <v>6666.69</v>
      </c>
      <c r="AI108">
        <v>35.81</v>
      </c>
      <c r="AJ108">
        <v>21.63</v>
      </c>
      <c r="AK108">
        <v>20.84</v>
      </c>
    </row>
    <row r="109" spans="1:37" x14ac:dyDescent="0.35">
      <c r="A109" t="s">
        <v>118</v>
      </c>
      <c r="B109" t="s">
        <v>119</v>
      </c>
      <c r="C109">
        <v>2</v>
      </c>
      <c r="D109" t="s">
        <v>72</v>
      </c>
      <c r="E109" t="s">
        <v>83</v>
      </c>
      <c r="F109">
        <v>0</v>
      </c>
      <c r="G109" t="s">
        <v>41</v>
      </c>
      <c r="H109">
        <v>8</v>
      </c>
      <c r="I109">
        <v>8</v>
      </c>
      <c r="J109" t="s">
        <v>42</v>
      </c>
      <c r="K109">
        <v>2</v>
      </c>
      <c r="L109">
        <v>0.47849999999999998</v>
      </c>
      <c r="M109">
        <v>50</v>
      </c>
      <c r="N109">
        <v>50</v>
      </c>
      <c r="O109">
        <v>0</v>
      </c>
      <c r="P109">
        <v>1</v>
      </c>
      <c r="Q109">
        <f t="shared" si="1"/>
        <v>0</v>
      </c>
      <c r="R109">
        <v>0</v>
      </c>
      <c r="S109">
        <v>50</v>
      </c>
      <c r="T109">
        <v>1</v>
      </c>
      <c r="U109">
        <v>2408400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21.87</v>
      </c>
      <c r="AD109">
        <v>0.72</v>
      </c>
      <c r="AE109">
        <v>-8.2899999999999991</v>
      </c>
      <c r="AF109">
        <v>0.67</v>
      </c>
      <c r="AG109">
        <v>5.33</v>
      </c>
      <c r="AH109">
        <v>6666.69</v>
      </c>
      <c r="AI109">
        <v>35.81</v>
      </c>
      <c r="AJ109">
        <v>21.62</v>
      </c>
      <c r="AK109">
        <v>20.84</v>
      </c>
    </row>
    <row r="110" spans="1:37" x14ac:dyDescent="0.35">
      <c r="A110" t="s">
        <v>120</v>
      </c>
      <c r="B110" t="s">
        <v>121</v>
      </c>
      <c r="C110">
        <v>4</v>
      </c>
      <c r="D110" t="s">
        <v>72</v>
      </c>
      <c r="E110" t="s">
        <v>40</v>
      </c>
      <c r="F110">
        <v>1</v>
      </c>
      <c r="G110" t="s">
        <v>41</v>
      </c>
      <c r="H110">
        <v>8</v>
      </c>
      <c r="I110">
        <v>8</v>
      </c>
      <c r="J110" t="s">
        <v>42</v>
      </c>
      <c r="K110">
        <v>2</v>
      </c>
      <c r="L110">
        <v>0.47849999999999998</v>
      </c>
      <c r="M110">
        <v>50</v>
      </c>
      <c r="N110">
        <v>14</v>
      </c>
      <c r="O110">
        <v>36</v>
      </c>
      <c r="P110">
        <v>3.57</v>
      </c>
      <c r="Q110">
        <f t="shared" si="1"/>
        <v>0.72</v>
      </c>
      <c r="R110">
        <v>12</v>
      </c>
      <c r="S110">
        <v>2</v>
      </c>
      <c r="T110">
        <v>0.1429</v>
      </c>
      <c r="U110">
        <v>674352</v>
      </c>
      <c r="V110">
        <v>578016</v>
      </c>
      <c r="W110">
        <v>85.71</v>
      </c>
      <c r="X110">
        <v>0.1158</v>
      </c>
      <c r="Y110">
        <v>0.01</v>
      </c>
      <c r="Z110">
        <v>11560</v>
      </c>
      <c r="AA110">
        <v>1.1999999999999999E-3</v>
      </c>
      <c r="AB110">
        <v>30</v>
      </c>
      <c r="AC110">
        <v>21.87</v>
      </c>
      <c r="AD110">
        <v>0.72</v>
      </c>
      <c r="AE110">
        <v>-8.57</v>
      </c>
      <c r="AF110">
        <v>0.72</v>
      </c>
      <c r="AG110">
        <v>5.71</v>
      </c>
      <c r="AH110">
        <v>6666.69</v>
      </c>
      <c r="AI110">
        <v>35.81</v>
      </c>
      <c r="AJ110">
        <v>22.17</v>
      </c>
      <c r="AK110">
        <v>21.4</v>
      </c>
    </row>
    <row r="111" spans="1:37" x14ac:dyDescent="0.35">
      <c r="A111" t="s">
        <v>122</v>
      </c>
      <c r="B111" t="s">
        <v>123</v>
      </c>
      <c r="C111">
        <v>4</v>
      </c>
      <c r="D111" t="s">
        <v>72</v>
      </c>
      <c r="E111" t="s">
        <v>40</v>
      </c>
      <c r="F111">
        <v>2</v>
      </c>
      <c r="G111" t="s">
        <v>41</v>
      </c>
      <c r="H111">
        <v>8</v>
      </c>
      <c r="I111">
        <v>8</v>
      </c>
      <c r="J111" t="s">
        <v>42</v>
      </c>
      <c r="K111">
        <v>2</v>
      </c>
      <c r="L111">
        <v>0.47849999999999998</v>
      </c>
      <c r="M111">
        <v>50</v>
      </c>
      <c r="N111">
        <v>14</v>
      </c>
      <c r="O111">
        <v>36</v>
      </c>
      <c r="P111">
        <v>3.57</v>
      </c>
      <c r="Q111">
        <f t="shared" si="1"/>
        <v>0.72</v>
      </c>
      <c r="R111">
        <v>12</v>
      </c>
      <c r="S111">
        <v>1</v>
      </c>
      <c r="T111">
        <v>7.1400000000000005E-2</v>
      </c>
      <c r="U111">
        <v>674352</v>
      </c>
      <c r="V111">
        <v>578016</v>
      </c>
      <c r="W111">
        <v>85.71</v>
      </c>
      <c r="X111">
        <v>0.1158</v>
      </c>
      <c r="Y111">
        <v>0.01</v>
      </c>
      <c r="Z111">
        <v>11560</v>
      </c>
      <c r="AA111">
        <v>1.1999999999999999E-3</v>
      </c>
      <c r="AB111">
        <v>30</v>
      </c>
      <c r="AC111">
        <v>21.87</v>
      </c>
      <c r="AD111">
        <v>0.72</v>
      </c>
      <c r="AE111">
        <v>-8.57</v>
      </c>
      <c r="AF111">
        <v>0.72</v>
      </c>
      <c r="AG111">
        <v>6.05</v>
      </c>
      <c r="AH111">
        <v>6666.69</v>
      </c>
      <c r="AI111">
        <v>35.81</v>
      </c>
      <c r="AJ111">
        <v>22.13</v>
      </c>
      <c r="AK111">
        <v>21.41</v>
      </c>
    </row>
    <row r="112" spans="1:37" x14ac:dyDescent="0.35">
      <c r="A112" t="s">
        <v>124</v>
      </c>
      <c r="B112" t="s">
        <v>125</v>
      </c>
      <c r="C112">
        <v>4</v>
      </c>
      <c r="D112" t="s">
        <v>72</v>
      </c>
      <c r="E112" t="s">
        <v>40</v>
      </c>
      <c r="F112">
        <v>4</v>
      </c>
      <c r="G112" t="s">
        <v>41</v>
      </c>
      <c r="H112">
        <v>8</v>
      </c>
      <c r="I112">
        <v>8</v>
      </c>
      <c r="J112" t="s">
        <v>42</v>
      </c>
      <c r="K112">
        <v>2</v>
      </c>
      <c r="L112">
        <v>0.47849999999999998</v>
      </c>
      <c r="M112">
        <v>50</v>
      </c>
      <c r="N112">
        <v>15</v>
      </c>
      <c r="O112">
        <v>35</v>
      </c>
      <c r="P112">
        <v>3.33</v>
      </c>
      <c r="Q112">
        <f t="shared" si="1"/>
        <v>0.7</v>
      </c>
      <c r="R112">
        <v>12</v>
      </c>
      <c r="S112">
        <v>0</v>
      </c>
      <c r="T112">
        <v>0</v>
      </c>
      <c r="U112">
        <v>722520</v>
      </c>
      <c r="V112">
        <v>578016</v>
      </c>
      <c r="W112">
        <v>80</v>
      </c>
      <c r="X112">
        <v>0.1158</v>
      </c>
      <c r="Y112">
        <v>0.01</v>
      </c>
      <c r="Z112">
        <v>11560</v>
      </c>
      <c r="AA112">
        <v>1.1999999999999999E-3</v>
      </c>
      <c r="AB112">
        <v>30</v>
      </c>
      <c r="AC112">
        <v>21.87</v>
      </c>
      <c r="AD112">
        <v>0.72</v>
      </c>
      <c r="AE112">
        <v>-8.57</v>
      </c>
      <c r="AF112">
        <v>0.73</v>
      </c>
      <c r="AG112">
        <v>5.96</v>
      </c>
      <c r="AH112">
        <v>6666.69</v>
      </c>
      <c r="AI112">
        <v>35.81</v>
      </c>
      <c r="AJ112">
        <v>22.18</v>
      </c>
      <c r="AK112">
        <v>21.42</v>
      </c>
    </row>
    <row r="113" spans="1:37" x14ac:dyDescent="0.35">
      <c r="A113" t="s">
        <v>126</v>
      </c>
      <c r="B113" t="s">
        <v>127</v>
      </c>
      <c r="C113">
        <v>4</v>
      </c>
      <c r="D113" t="s">
        <v>72</v>
      </c>
      <c r="E113" t="s">
        <v>40</v>
      </c>
      <c r="F113">
        <v>8</v>
      </c>
      <c r="G113" t="s">
        <v>41</v>
      </c>
      <c r="H113">
        <v>8</v>
      </c>
      <c r="I113">
        <v>8</v>
      </c>
      <c r="J113" t="s">
        <v>42</v>
      </c>
      <c r="K113">
        <v>2</v>
      </c>
      <c r="L113">
        <v>0.47849999999999998</v>
      </c>
      <c r="M113">
        <v>50</v>
      </c>
      <c r="N113">
        <v>15</v>
      </c>
      <c r="O113">
        <v>35</v>
      </c>
      <c r="P113">
        <v>3.33</v>
      </c>
      <c r="Q113">
        <f t="shared" si="1"/>
        <v>0.7</v>
      </c>
      <c r="R113">
        <v>10</v>
      </c>
      <c r="S113">
        <v>0</v>
      </c>
      <c r="T113">
        <v>0</v>
      </c>
      <c r="U113">
        <v>722520</v>
      </c>
      <c r="V113">
        <v>481680</v>
      </c>
      <c r="W113">
        <v>66.67</v>
      </c>
      <c r="X113">
        <v>9.6500000000000002E-2</v>
      </c>
      <c r="Y113">
        <v>0.01</v>
      </c>
      <c r="Z113">
        <v>9634</v>
      </c>
      <c r="AA113">
        <v>1E-3</v>
      </c>
      <c r="AB113">
        <v>30</v>
      </c>
      <c r="AC113">
        <v>21.87</v>
      </c>
      <c r="AD113">
        <v>0.72</v>
      </c>
      <c r="AE113">
        <v>-8.58</v>
      </c>
      <c r="AF113">
        <v>0.73</v>
      </c>
      <c r="AG113">
        <v>5.91</v>
      </c>
      <c r="AH113">
        <v>6666.69</v>
      </c>
      <c r="AI113">
        <v>35.81</v>
      </c>
      <c r="AJ113">
        <v>22.15</v>
      </c>
      <c r="AK113">
        <v>21.39</v>
      </c>
    </row>
    <row r="114" spans="1:37" x14ac:dyDescent="0.35">
      <c r="A114" t="s">
        <v>128</v>
      </c>
      <c r="B114" t="s">
        <v>129</v>
      </c>
      <c r="C114">
        <v>4</v>
      </c>
      <c r="D114" t="s">
        <v>72</v>
      </c>
      <c r="E114" t="s">
        <v>40</v>
      </c>
      <c r="F114">
        <v>16</v>
      </c>
      <c r="G114" t="s">
        <v>41</v>
      </c>
      <c r="H114">
        <v>8</v>
      </c>
      <c r="I114">
        <v>8</v>
      </c>
      <c r="J114" t="s">
        <v>42</v>
      </c>
      <c r="K114">
        <v>2</v>
      </c>
      <c r="L114">
        <v>0.47849999999999998</v>
      </c>
      <c r="M114">
        <v>50</v>
      </c>
      <c r="N114">
        <v>18</v>
      </c>
      <c r="O114">
        <v>32</v>
      </c>
      <c r="P114">
        <v>2.78</v>
      </c>
      <c r="Q114">
        <f t="shared" si="1"/>
        <v>0.64</v>
      </c>
      <c r="R114">
        <v>8</v>
      </c>
      <c r="S114">
        <v>0</v>
      </c>
      <c r="T114">
        <v>0</v>
      </c>
      <c r="U114">
        <v>867024</v>
      </c>
      <c r="V114">
        <v>385344</v>
      </c>
      <c r="W114">
        <v>44.44</v>
      </c>
      <c r="X114">
        <v>7.7200000000000005E-2</v>
      </c>
      <c r="Y114">
        <v>0.01</v>
      </c>
      <c r="Z114">
        <v>7707</v>
      </c>
      <c r="AA114">
        <v>8.0000000000000004E-4</v>
      </c>
      <c r="AB114">
        <v>30</v>
      </c>
      <c r="AC114">
        <v>21.87</v>
      </c>
      <c r="AD114">
        <v>0.72</v>
      </c>
      <c r="AE114">
        <v>-8.58</v>
      </c>
      <c r="AF114">
        <v>0.72</v>
      </c>
      <c r="AG114">
        <v>6.66</v>
      </c>
      <c r="AH114">
        <v>6666.69</v>
      </c>
      <c r="AI114">
        <v>35.81</v>
      </c>
      <c r="AJ114">
        <v>22.15</v>
      </c>
      <c r="AK114">
        <v>21.41</v>
      </c>
    </row>
    <row r="115" spans="1:37" x14ac:dyDescent="0.35">
      <c r="A115" t="s">
        <v>130</v>
      </c>
      <c r="B115" t="s">
        <v>131</v>
      </c>
      <c r="C115">
        <v>4</v>
      </c>
      <c r="D115" t="s">
        <v>72</v>
      </c>
      <c r="E115" t="s">
        <v>83</v>
      </c>
      <c r="F115">
        <v>0</v>
      </c>
      <c r="G115" t="s">
        <v>41</v>
      </c>
      <c r="H115">
        <v>8</v>
      </c>
      <c r="I115">
        <v>8</v>
      </c>
      <c r="J115" t="s">
        <v>42</v>
      </c>
      <c r="K115">
        <v>2</v>
      </c>
      <c r="L115">
        <v>0.47849999999999998</v>
      </c>
      <c r="M115">
        <v>50</v>
      </c>
      <c r="N115">
        <v>50</v>
      </c>
      <c r="O115">
        <v>0</v>
      </c>
      <c r="P115">
        <v>1</v>
      </c>
      <c r="Q115">
        <f t="shared" si="1"/>
        <v>0</v>
      </c>
      <c r="R115">
        <v>0</v>
      </c>
      <c r="S115">
        <v>50</v>
      </c>
      <c r="T115">
        <v>1</v>
      </c>
      <c r="U115">
        <v>2408400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21.87</v>
      </c>
      <c r="AD115">
        <v>0.72</v>
      </c>
      <c r="AE115">
        <v>-8.58</v>
      </c>
      <c r="AF115">
        <v>0.72</v>
      </c>
      <c r="AG115">
        <v>6.56</v>
      </c>
      <c r="AH115">
        <v>6666.69</v>
      </c>
      <c r="AI115">
        <v>35.81</v>
      </c>
      <c r="AJ115">
        <v>22.15</v>
      </c>
      <c r="AK115">
        <v>21.41</v>
      </c>
    </row>
    <row r="116" spans="1:37" x14ac:dyDescent="0.35">
      <c r="A116" t="s">
        <v>132</v>
      </c>
      <c r="B116" t="s">
        <v>133</v>
      </c>
      <c r="C116">
        <v>6</v>
      </c>
      <c r="D116" t="s">
        <v>72</v>
      </c>
      <c r="E116" t="s">
        <v>40</v>
      </c>
      <c r="F116">
        <v>1</v>
      </c>
      <c r="G116" t="s">
        <v>41</v>
      </c>
      <c r="H116">
        <v>8</v>
      </c>
      <c r="I116">
        <v>8</v>
      </c>
      <c r="J116" t="s">
        <v>42</v>
      </c>
      <c r="K116">
        <v>2</v>
      </c>
      <c r="L116">
        <v>0.47849999999999998</v>
      </c>
      <c r="M116">
        <v>50</v>
      </c>
      <c r="N116">
        <v>21</v>
      </c>
      <c r="O116">
        <v>29</v>
      </c>
      <c r="P116">
        <v>2.38</v>
      </c>
      <c r="Q116">
        <f t="shared" si="1"/>
        <v>0.57999999999999996</v>
      </c>
      <c r="R116">
        <v>21</v>
      </c>
      <c r="S116">
        <v>0</v>
      </c>
      <c r="T116">
        <v>0</v>
      </c>
      <c r="U116">
        <v>1011528</v>
      </c>
      <c r="V116">
        <v>1011528</v>
      </c>
      <c r="W116">
        <v>100</v>
      </c>
      <c r="X116">
        <v>0.2026</v>
      </c>
      <c r="Y116">
        <v>0.02</v>
      </c>
      <c r="Z116">
        <v>20231</v>
      </c>
      <c r="AA116">
        <v>2.2000000000000001E-3</v>
      </c>
      <c r="AB116">
        <v>30</v>
      </c>
      <c r="AC116">
        <v>21.87</v>
      </c>
      <c r="AD116">
        <v>0.72</v>
      </c>
      <c r="AE116">
        <v>-8.76</v>
      </c>
      <c r="AF116">
        <v>0.76</v>
      </c>
      <c r="AG116">
        <v>6.91</v>
      </c>
      <c r="AH116">
        <v>6666.69</v>
      </c>
      <c r="AI116">
        <v>35.81</v>
      </c>
      <c r="AJ116">
        <v>22.62</v>
      </c>
      <c r="AK116">
        <v>21.97</v>
      </c>
    </row>
    <row r="117" spans="1:37" x14ac:dyDescent="0.35">
      <c r="A117" t="s">
        <v>134</v>
      </c>
      <c r="B117" t="s">
        <v>135</v>
      </c>
      <c r="C117">
        <v>6</v>
      </c>
      <c r="D117" t="s">
        <v>72</v>
      </c>
      <c r="E117" t="s">
        <v>40</v>
      </c>
      <c r="F117">
        <v>2</v>
      </c>
      <c r="G117" t="s">
        <v>41</v>
      </c>
      <c r="H117">
        <v>8</v>
      </c>
      <c r="I117">
        <v>8</v>
      </c>
      <c r="J117" t="s">
        <v>42</v>
      </c>
      <c r="K117">
        <v>2</v>
      </c>
      <c r="L117">
        <v>0.47849999999999998</v>
      </c>
      <c r="M117">
        <v>50</v>
      </c>
      <c r="N117">
        <v>21</v>
      </c>
      <c r="O117">
        <v>29</v>
      </c>
      <c r="P117">
        <v>2.38</v>
      </c>
      <c r="Q117">
        <f t="shared" si="1"/>
        <v>0.57999999999999996</v>
      </c>
      <c r="R117">
        <v>20</v>
      </c>
      <c r="S117">
        <v>0</v>
      </c>
      <c r="T117">
        <v>0</v>
      </c>
      <c r="U117">
        <v>1011528</v>
      </c>
      <c r="V117">
        <v>963360</v>
      </c>
      <c r="W117">
        <v>95.24</v>
      </c>
      <c r="X117">
        <v>0.193</v>
      </c>
      <c r="Y117">
        <v>0.02</v>
      </c>
      <c r="Z117">
        <v>19267</v>
      </c>
      <c r="AA117">
        <v>2.0999999999999999E-3</v>
      </c>
      <c r="AB117">
        <v>30</v>
      </c>
      <c r="AC117">
        <v>21.87</v>
      </c>
      <c r="AD117">
        <v>0.72</v>
      </c>
      <c r="AE117">
        <v>-8.76</v>
      </c>
      <c r="AF117">
        <v>0.77</v>
      </c>
      <c r="AG117">
        <v>7.53</v>
      </c>
      <c r="AH117">
        <v>6666.69</v>
      </c>
      <c r="AI117">
        <v>35.81</v>
      </c>
      <c r="AJ117">
        <v>22.62</v>
      </c>
      <c r="AK117">
        <v>21.96</v>
      </c>
    </row>
    <row r="118" spans="1:37" x14ac:dyDescent="0.35">
      <c r="A118" t="s">
        <v>136</v>
      </c>
      <c r="B118" t="s">
        <v>137</v>
      </c>
      <c r="C118">
        <v>6</v>
      </c>
      <c r="D118" t="s">
        <v>72</v>
      </c>
      <c r="E118" t="s">
        <v>40</v>
      </c>
      <c r="F118">
        <v>4</v>
      </c>
      <c r="G118" t="s">
        <v>41</v>
      </c>
      <c r="H118">
        <v>8</v>
      </c>
      <c r="I118">
        <v>8</v>
      </c>
      <c r="J118" t="s">
        <v>42</v>
      </c>
      <c r="K118">
        <v>2</v>
      </c>
      <c r="L118">
        <v>0.47849999999999998</v>
      </c>
      <c r="M118">
        <v>50</v>
      </c>
      <c r="N118">
        <v>22</v>
      </c>
      <c r="O118">
        <v>28</v>
      </c>
      <c r="P118">
        <v>2.27</v>
      </c>
      <c r="Q118">
        <f t="shared" si="1"/>
        <v>0.56000000000000005</v>
      </c>
      <c r="R118">
        <v>20</v>
      </c>
      <c r="S118">
        <v>0</v>
      </c>
      <c r="T118">
        <v>0</v>
      </c>
      <c r="U118">
        <v>1059696</v>
      </c>
      <c r="V118">
        <v>963360</v>
      </c>
      <c r="W118">
        <v>90.91</v>
      </c>
      <c r="X118">
        <v>0.193</v>
      </c>
      <c r="Y118">
        <v>0.02</v>
      </c>
      <c r="Z118">
        <v>19267</v>
      </c>
      <c r="AA118">
        <v>2.0999999999999999E-3</v>
      </c>
      <c r="AB118">
        <v>30</v>
      </c>
      <c r="AC118">
        <v>21.87</v>
      </c>
      <c r="AD118">
        <v>0.72</v>
      </c>
      <c r="AE118">
        <v>-8.77</v>
      </c>
      <c r="AF118">
        <v>0.76</v>
      </c>
      <c r="AG118">
        <v>7.56</v>
      </c>
      <c r="AH118">
        <v>6666.69</v>
      </c>
      <c r="AI118">
        <v>35.81</v>
      </c>
      <c r="AJ118">
        <v>22.63</v>
      </c>
      <c r="AK118">
        <v>21.93</v>
      </c>
    </row>
    <row r="119" spans="1:37" x14ac:dyDescent="0.35">
      <c r="A119" t="s">
        <v>138</v>
      </c>
      <c r="B119" t="s">
        <v>139</v>
      </c>
      <c r="C119">
        <v>6</v>
      </c>
      <c r="D119" t="s">
        <v>72</v>
      </c>
      <c r="E119" t="s">
        <v>40</v>
      </c>
      <c r="F119">
        <v>8</v>
      </c>
      <c r="G119" t="s">
        <v>41</v>
      </c>
      <c r="H119">
        <v>8</v>
      </c>
      <c r="I119">
        <v>8</v>
      </c>
      <c r="J119" t="s">
        <v>42</v>
      </c>
      <c r="K119">
        <v>2</v>
      </c>
      <c r="L119">
        <v>0.47849999999999998</v>
      </c>
      <c r="M119">
        <v>50</v>
      </c>
      <c r="N119">
        <v>23</v>
      </c>
      <c r="O119">
        <v>27</v>
      </c>
      <c r="P119">
        <v>2.17</v>
      </c>
      <c r="Q119">
        <f t="shared" si="1"/>
        <v>0.54</v>
      </c>
      <c r="R119">
        <v>18</v>
      </c>
      <c r="S119">
        <v>0</v>
      </c>
      <c r="T119">
        <v>0</v>
      </c>
      <c r="U119">
        <v>1107864</v>
      </c>
      <c r="V119">
        <v>867024</v>
      </c>
      <c r="W119">
        <v>78.260000000000005</v>
      </c>
      <c r="X119">
        <v>0.17369999999999999</v>
      </c>
      <c r="Y119">
        <v>0.02</v>
      </c>
      <c r="Z119">
        <v>17340</v>
      </c>
      <c r="AA119">
        <v>1.9E-3</v>
      </c>
      <c r="AB119">
        <v>30</v>
      </c>
      <c r="AC119">
        <v>21.87</v>
      </c>
      <c r="AD119">
        <v>0.72</v>
      </c>
      <c r="AE119">
        <v>-8.77</v>
      </c>
      <c r="AF119">
        <v>0.76</v>
      </c>
      <c r="AG119">
        <v>7.29</v>
      </c>
      <c r="AH119">
        <v>6666.69</v>
      </c>
      <c r="AI119">
        <v>35.81</v>
      </c>
      <c r="AJ119">
        <v>22.63</v>
      </c>
      <c r="AK119">
        <v>21.92</v>
      </c>
    </row>
    <row r="120" spans="1:37" x14ac:dyDescent="0.35">
      <c r="A120" t="s">
        <v>140</v>
      </c>
      <c r="B120" t="s">
        <v>141</v>
      </c>
      <c r="C120">
        <v>6</v>
      </c>
      <c r="D120" t="s">
        <v>72</v>
      </c>
      <c r="E120" t="s">
        <v>40</v>
      </c>
      <c r="F120">
        <v>16</v>
      </c>
      <c r="G120" t="s">
        <v>41</v>
      </c>
      <c r="H120">
        <v>8</v>
      </c>
      <c r="I120">
        <v>8</v>
      </c>
      <c r="J120" t="s">
        <v>42</v>
      </c>
      <c r="K120">
        <v>2</v>
      </c>
      <c r="L120">
        <v>0.47849999999999998</v>
      </c>
      <c r="M120">
        <v>50</v>
      </c>
      <c r="N120">
        <v>30</v>
      </c>
      <c r="O120">
        <v>20</v>
      </c>
      <c r="P120">
        <v>1.67</v>
      </c>
      <c r="Q120">
        <f t="shared" si="1"/>
        <v>0.4</v>
      </c>
      <c r="R120">
        <v>16</v>
      </c>
      <c r="S120">
        <v>0</v>
      </c>
      <c r="T120">
        <v>0</v>
      </c>
      <c r="U120">
        <v>1445040</v>
      </c>
      <c r="V120">
        <v>770688</v>
      </c>
      <c r="W120">
        <v>53.33</v>
      </c>
      <c r="X120">
        <v>0.15440000000000001</v>
      </c>
      <c r="Y120">
        <v>0.02</v>
      </c>
      <c r="Z120">
        <v>15414</v>
      </c>
      <c r="AA120">
        <v>1.6000000000000001E-3</v>
      </c>
      <c r="AB120">
        <v>30</v>
      </c>
      <c r="AC120">
        <v>21.87</v>
      </c>
      <c r="AD120">
        <v>0.72</v>
      </c>
      <c r="AE120">
        <v>-8.77</v>
      </c>
      <c r="AF120">
        <v>0.76</v>
      </c>
      <c r="AG120">
        <v>7.98</v>
      </c>
      <c r="AH120">
        <v>6666.69</v>
      </c>
      <c r="AI120">
        <v>35.81</v>
      </c>
      <c r="AJ120">
        <v>22.6</v>
      </c>
      <c r="AK120">
        <v>21.95</v>
      </c>
    </row>
    <row r="121" spans="1:37" x14ac:dyDescent="0.35">
      <c r="A121" t="s">
        <v>142</v>
      </c>
      <c r="B121" t="s">
        <v>143</v>
      </c>
      <c r="C121">
        <v>6</v>
      </c>
      <c r="D121" t="s">
        <v>72</v>
      </c>
      <c r="E121" t="s">
        <v>83</v>
      </c>
      <c r="F121">
        <v>0</v>
      </c>
      <c r="G121" t="s">
        <v>41</v>
      </c>
      <c r="H121">
        <v>8</v>
      </c>
      <c r="I121">
        <v>8</v>
      </c>
      <c r="J121" t="s">
        <v>42</v>
      </c>
      <c r="K121">
        <v>2</v>
      </c>
      <c r="L121">
        <v>0.47849999999999998</v>
      </c>
      <c r="M121">
        <v>50</v>
      </c>
      <c r="N121">
        <v>50</v>
      </c>
      <c r="O121">
        <v>0</v>
      </c>
      <c r="P121">
        <v>1</v>
      </c>
      <c r="Q121">
        <f t="shared" si="1"/>
        <v>0</v>
      </c>
      <c r="R121">
        <v>0</v>
      </c>
      <c r="S121">
        <v>50</v>
      </c>
      <c r="T121">
        <v>1</v>
      </c>
      <c r="U121">
        <v>2408400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21.87</v>
      </c>
      <c r="AD121">
        <v>0.72</v>
      </c>
      <c r="AE121">
        <v>-8.7799999999999994</v>
      </c>
      <c r="AF121">
        <v>0.76</v>
      </c>
      <c r="AG121">
        <v>8.1199999999999992</v>
      </c>
      <c r="AH121">
        <v>6666.69</v>
      </c>
      <c r="AI121">
        <v>35.81</v>
      </c>
      <c r="AJ121">
        <v>22.61</v>
      </c>
      <c r="AK121">
        <v>21.95</v>
      </c>
    </row>
    <row r="122" spans="1:37" x14ac:dyDescent="0.35">
      <c r="A122" t="s">
        <v>144</v>
      </c>
      <c r="B122" t="s">
        <v>145</v>
      </c>
      <c r="C122">
        <v>8</v>
      </c>
      <c r="D122" t="s">
        <v>72</v>
      </c>
      <c r="E122" t="s">
        <v>40</v>
      </c>
      <c r="F122">
        <v>1</v>
      </c>
      <c r="G122" t="s">
        <v>41</v>
      </c>
      <c r="H122">
        <v>8</v>
      </c>
      <c r="I122">
        <v>8</v>
      </c>
      <c r="J122" t="s">
        <v>42</v>
      </c>
      <c r="K122">
        <v>2</v>
      </c>
      <c r="L122">
        <v>0.47849999999999998</v>
      </c>
      <c r="M122">
        <v>50</v>
      </c>
      <c r="N122">
        <v>25</v>
      </c>
      <c r="O122">
        <v>25</v>
      </c>
      <c r="P122">
        <v>2</v>
      </c>
      <c r="Q122">
        <f t="shared" si="1"/>
        <v>0.5</v>
      </c>
      <c r="R122">
        <v>25</v>
      </c>
      <c r="S122">
        <v>0</v>
      </c>
      <c r="T122">
        <v>0</v>
      </c>
      <c r="U122">
        <v>1204200</v>
      </c>
      <c r="V122">
        <v>1204200</v>
      </c>
      <c r="W122">
        <v>100</v>
      </c>
      <c r="X122">
        <v>0.2412</v>
      </c>
      <c r="Y122">
        <v>0.02</v>
      </c>
      <c r="Z122">
        <v>24084</v>
      </c>
      <c r="AA122">
        <v>2.5999999999999999E-3</v>
      </c>
      <c r="AB122">
        <v>30</v>
      </c>
      <c r="AC122">
        <v>21.87</v>
      </c>
      <c r="AD122">
        <v>0.72</v>
      </c>
      <c r="AE122">
        <v>-8.89</v>
      </c>
      <c r="AF122">
        <v>0.79</v>
      </c>
      <c r="AG122">
        <v>8.15</v>
      </c>
      <c r="AH122">
        <v>6666.69</v>
      </c>
      <c r="AI122">
        <v>35.81</v>
      </c>
      <c r="AJ122">
        <v>23.03</v>
      </c>
      <c r="AK122">
        <v>22.44</v>
      </c>
    </row>
    <row r="123" spans="1:37" x14ac:dyDescent="0.35">
      <c r="A123" t="s">
        <v>146</v>
      </c>
      <c r="B123" t="s">
        <v>147</v>
      </c>
      <c r="C123">
        <v>8</v>
      </c>
      <c r="D123" t="s">
        <v>72</v>
      </c>
      <c r="E123" t="s">
        <v>40</v>
      </c>
      <c r="F123">
        <v>2</v>
      </c>
      <c r="G123" t="s">
        <v>41</v>
      </c>
      <c r="H123">
        <v>8</v>
      </c>
      <c r="I123">
        <v>8</v>
      </c>
      <c r="J123" t="s">
        <v>42</v>
      </c>
      <c r="K123">
        <v>2</v>
      </c>
      <c r="L123">
        <v>0.47849999999999998</v>
      </c>
      <c r="M123">
        <v>50</v>
      </c>
      <c r="N123">
        <v>25</v>
      </c>
      <c r="O123">
        <v>25</v>
      </c>
      <c r="P123">
        <v>2</v>
      </c>
      <c r="Q123">
        <f t="shared" si="1"/>
        <v>0.5</v>
      </c>
      <c r="R123">
        <v>24</v>
      </c>
      <c r="S123">
        <v>0</v>
      </c>
      <c r="T123">
        <v>0</v>
      </c>
      <c r="U123">
        <v>1204200</v>
      </c>
      <c r="V123">
        <v>1156032</v>
      </c>
      <c r="W123">
        <v>96</v>
      </c>
      <c r="X123">
        <v>0.2316</v>
      </c>
      <c r="Y123">
        <v>0.02</v>
      </c>
      <c r="Z123">
        <v>23121</v>
      </c>
      <c r="AA123">
        <v>2.5000000000000001E-3</v>
      </c>
      <c r="AB123">
        <v>30</v>
      </c>
      <c r="AC123">
        <v>21.87</v>
      </c>
      <c r="AD123">
        <v>0.72</v>
      </c>
      <c r="AE123">
        <v>-8.9</v>
      </c>
      <c r="AF123">
        <v>0.8</v>
      </c>
      <c r="AG123">
        <v>8.82</v>
      </c>
      <c r="AH123">
        <v>6666.69</v>
      </c>
      <c r="AI123">
        <v>35.81</v>
      </c>
      <c r="AJ123">
        <v>23</v>
      </c>
      <c r="AK123">
        <v>22.42</v>
      </c>
    </row>
    <row r="124" spans="1:37" x14ac:dyDescent="0.35">
      <c r="A124" t="s">
        <v>148</v>
      </c>
      <c r="B124" t="s">
        <v>149</v>
      </c>
      <c r="C124">
        <v>8</v>
      </c>
      <c r="D124" t="s">
        <v>72</v>
      </c>
      <c r="E124" t="s">
        <v>40</v>
      </c>
      <c r="F124">
        <v>4</v>
      </c>
      <c r="G124" t="s">
        <v>41</v>
      </c>
      <c r="H124">
        <v>8</v>
      </c>
      <c r="I124">
        <v>8</v>
      </c>
      <c r="J124" t="s">
        <v>42</v>
      </c>
      <c r="K124">
        <v>2</v>
      </c>
      <c r="L124">
        <v>0.47849999999999998</v>
      </c>
      <c r="M124">
        <v>50</v>
      </c>
      <c r="N124">
        <v>26</v>
      </c>
      <c r="O124">
        <v>24</v>
      </c>
      <c r="P124">
        <v>1.92</v>
      </c>
      <c r="Q124">
        <f t="shared" si="1"/>
        <v>0.48</v>
      </c>
      <c r="R124">
        <v>24</v>
      </c>
      <c r="S124">
        <v>0</v>
      </c>
      <c r="T124">
        <v>0</v>
      </c>
      <c r="U124">
        <v>1252368</v>
      </c>
      <c r="V124">
        <v>1156032</v>
      </c>
      <c r="W124">
        <v>92.31</v>
      </c>
      <c r="X124">
        <v>0.2316</v>
      </c>
      <c r="Y124">
        <v>0.02</v>
      </c>
      <c r="Z124">
        <v>23121</v>
      </c>
      <c r="AA124">
        <v>2.5000000000000001E-3</v>
      </c>
      <c r="AB124">
        <v>30</v>
      </c>
      <c r="AC124">
        <v>21.87</v>
      </c>
      <c r="AD124">
        <v>0.72</v>
      </c>
      <c r="AE124">
        <v>-8.9</v>
      </c>
      <c r="AF124">
        <v>0.79</v>
      </c>
      <c r="AG124">
        <v>9.8000000000000007</v>
      </c>
      <c r="AH124">
        <v>6666.69</v>
      </c>
      <c r="AI124">
        <v>35.81</v>
      </c>
      <c r="AJ124">
        <v>23.02</v>
      </c>
      <c r="AK124">
        <v>22.45</v>
      </c>
    </row>
    <row r="125" spans="1:37" x14ac:dyDescent="0.35">
      <c r="A125" t="s">
        <v>150</v>
      </c>
      <c r="B125" t="s">
        <v>151</v>
      </c>
      <c r="C125">
        <v>8</v>
      </c>
      <c r="D125" t="s">
        <v>72</v>
      </c>
      <c r="E125" t="s">
        <v>40</v>
      </c>
      <c r="F125">
        <v>8</v>
      </c>
      <c r="G125" t="s">
        <v>41</v>
      </c>
      <c r="H125">
        <v>8</v>
      </c>
      <c r="I125">
        <v>8</v>
      </c>
      <c r="J125" t="s">
        <v>42</v>
      </c>
      <c r="K125">
        <v>2</v>
      </c>
      <c r="L125">
        <v>0.47849999999999998</v>
      </c>
      <c r="M125">
        <v>50</v>
      </c>
      <c r="N125">
        <v>26</v>
      </c>
      <c r="O125">
        <v>24</v>
      </c>
      <c r="P125">
        <v>1.92</v>
      </c>
      <c r="Q125">
        <f t="shared" si="1"/>
        <v>0.48</v>
      </c>
      <c r="R125">
        <v>24</v>
      </c>
      <c r="S125">
        <v>0</v>
      </c>
      <c r="T125">
        <v>0</v>
      </c>
      <c r="U125">
        <v>1252368</v>
      </c>
      <c r="V125">
        <v>1156032</v>
      </c>
      <c r="W125">
        <v>92.31</v>
      </c>
      <c r="X125">
        <v>0.2316</v>
      </c>
      <c r="Y125">
        <v>0.02</v>
      </c>
      <c r="Z125">
        <v>23121</v>
      </c>
      <c r="AA125">
        <v>2.5000000000000001E-3</v>
      </c>
      <c r="AB125">
        <v>30</v>
      </c>
      <c r="AC125">
        <v>21.87</v>
      </c>
      <c r="AD125">
        <v>0.72</v>
      </c>
      <c r="AE125">
        <v>-8.9</v>
      </c>
      <c r="AF125">
        <v>0.78</v>
      </c>
      <c r="AG125">
        <v>9.57</v>
      </c>
      <c r="AH125">
        <v>6666.69</v>
      </c>
      <c r="AI125">
        <v>35.81</v>
      </c>
      <c r="AJ125">
        <v>23.01</v>
      </c>
      <c r="AK125">
        <v>22.42</v>
      </c>
    </row>
    <row r="126" spans="1:37" x14ac:dyDescent="0.35">
      <c r="A126" t="s">
        <v>152</v>
      </c>
      <c r="B126" t="s">
        <v>153</v>
      </c>
      <c r="C126">
        <v>8</v>
      </c>
      <c r="D126" t="s">
        <v>72</v>
      </c>
      <c r="E126" t="s">
        <v>40</v>
      </c>
      <c r="F126">
        <v>16</v>
      </c>
      <c r="G126" t="s">
        <v>41</v>
      </c>
      <c r="H126">
        <v>8</v>
      </c>
      <c r="I126">
        <v>8</v>
      </c>
      <c r="J126" t="s">
        <v>42</v>
      </c>
      <c r="K126">
        <v>2</v>
      </c>
      <c r="L126">
        <v>0.47849999999999998</v>
      </c>
      <c r="M126">
        <v>50</v>
      </c>
      <c r="N126">
        <v>31</v>
      </c>
      <c r="O126">
        <v>19</v>
      </c>
      <c r="P126">
        <v>1.61</v>
      </c>
      <c r="Q126">
        <f t="shared" si="1"/>
        <v>0.38</v>
      </c>
      <c r="R126">
        <v>18</v>
      </c>
      <c r="S126">
        <v>0</v>
      </c>
      <c r="T126">
        <v>0</v>
      </c>
      <c r="U126">
        <v>1493208</v>
      </c>
      <c r="V126">
        <v>867024</v>
      </c>
      <c r="W126">
        <v>58.06</v>
      </c>
      <c r="X126">
        <v>0.17369999999999999</v>
      </c>
      <c r="Y126">
        <v>0.02</v>
      </c>
      <c r="Z126">
        <v>17340</v>
      </c>
      <c r="AA126">
        <v>1.9E-3</v>
      </c>
      <c r="AB126">
        <v>30</v>
      </c>
      <c r="AC126">
        <v>21.87</v>
      </c>
      <c r="AD126">
        <v>0.72</v>
      </c>
      <c r="AE126">
        <v>-8.9</v>
      </c>
      <c r="AF126">
        <v>0.78</v>
      </c>
      <c r="AG126">
        <v>9.9</v>
      </c>
      <c r="AH126">
        <v>6666.69</v>
      </c>
      <c r="AI126">
        <v>35.81</v>
      </c>
      <c r="AJ126">
        <v>22.99</v>
      </c>
      <c r="AK126">
        <v>22.42</v>
      </c>
    </row>
    <row r="127" spans="1:37" x14ac:dyDescent="0.35">
      <c r="A127" t="s">
        <v>154</v>
      </c>
      <c r="B127" t="s">
        <v>155</v>
      </c>
      <c r="C127">
        <v>8</v>
      </c>
      <c r="D127" t="s">
        <v>72</v>
      </c>
      <c r="E127" t="s">
        <v>83</v>
      </c>
      <c r="F127">
        <v>0</v>
      </c>
      <c r="G127" t="s">
        <v>41</v>
      </c>
      <c r="H127">
        <v>8</v>
      </c>
      <c r="I127">
        <v>8</v>
      </c>
      <c r="J127" t="s">
        <v>42</v>
      </c>
      <c r="K127">
        <v>2</v>
      </c>
      <c r="L127">
        <v>0.47849999999999998</v>
      </c>
      <c r="M127">
        <v>50</v>
      </c>
      <c r="N127">
        <v>50</v>
      </c>
      <c r="O127">
        <v>0</v>
      </c>
      <c r="P127">
        <v>1</v>
      </c>
      <c r="Q127">
        <f t="shared" si="1"/>
        <v>0</v>
      </c>
      <c r="R127">
        <v>0</v>
      </c>
      <c r="S127">
        <v>50</v>
      </c>
      <c r="T127">
        <v>1</v>
      </c>
      <c r="U127">
        <v>2408400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30</v>
      </c>
      <c r="AC127">
        <v>21.87</v>
      </c>
      <c r="AD127">
        <v>0.72</v>
      </c>
      <c r="AE127">
        <v>-8.91</v>
      </c>
      <c r="AF127">
        <v>0.79</v>
      </c>
      <c r="AG127">
        <v>10.28</v>
      </c>
      <c r="AH127">
        <v>6666.69</v>
      </c>
      <c r="AI127">
        <v>35.81</v>
      </c>
      <c r="AJ127">
        <v>23</v>
      </c>
      <c r="AK127">
        <v>22.42</v>
      </c>
    </row>
    <row r="128" spans="1:37" x14ac:dyDescent="0.35">
      <c r="A128" t="s">
        <v>156</v>
      </c>
      <c r="B128" t="s">
        <v>157</v>
      </c>
      <c r="C128">
        <v>0</v>
      </c>
      <c r="D128" t="s">
        <v>158</v>
      </c>
      <c r="E128" t="s">
        <v>40</v>
      </c>
      <c r="F128">
        <v>1</v>
      </c>
      <c r="G128" t="s">
        <v>41</v>
      </c>
      <c r="H128">
        <v>8</v>
      </c>
      <c r="I128">
        <v>8</v>
      </c>
      <c r="J128" t="s">
        <v>42</v>
      </c>
      <c r="K128">
        <v>2</v>
      </c>
      <c r="L128">
        <v>0.47849999999999998</v>
      </c>
      <c r="M128">
        <v>50</v>
      </c>
      <c r="N128">
        <v>12</v>
      </c>
      <c r="O128">
        <v>38</v>
      </c>
      <c r="P128">
        <v>4.17</v>
      </c>
      <c r="Q128">
        <f t="shared" si="1"/>
        <v>0.76</v>
      </c>
      <c r="R128">
        <v>0</v>
      </c>
      <c r="S128">
        <v>12</v>
      </c>
      <c r="T128">
        <v>1</v>
      </c>
      <c r="U128">
        <v>430272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21.87</v>
      </c>
      <c r="AD128">
        <v>0.72</v>
      </c>
      <c r="AE128">
        <v>-7.85</v>
      </c>
      <c r="AF128">
        <v>0.62</v>
      </c>
      <c r="AG128">
        <v>4.22</v>
      </c>
      <c r="AH128">
        <v>6666.69</v>
      </c>
      <c r="AI128">
        <v>35.81</v>
      </c>
      <c r="AJ128">
        <v>15.85</v>
      </c>
      <c r="AK128">
        <v>15.13</v>
      </c>
    </row>
    <row r="129" spans="1:37" x14ac:dyDescent="0.35">
      <c r="A129" t="s">
        <v>159</v>
      </c>
      <c r="B129" t="s">
        <v>160</v>
      </c>
      <c r="C129">
        <v>10</v>
      </c>
      <c r="D129" t="s">
        <v>158</v>
      </c>
      <c r="E129" t="s">
        <v>40</v>
      </c>
      <c r="F129">
        <v>1</v>
      </c>
      <c r="G129" t="s">
        <v>41</v>
      </c>
      <c r="H129">
        <v>8</v>
      </c>
      <c r="I129">
        <v>8</v>
      </c>
      <c r="J129" t="s">
        <v>42</v>
      </c>
      <c r="K129">
        <v>2</v>
      </c>
      <c r="L129">
        <v>0.47849999999999998</v>
      </c>
      <c r="M129">
        <v>50</v>
      </c>
      <c r="N129">
        <v>48</v>
      </c>
      <c r="O129">
        <v>2</v>
      </c>
      <c r="P129">
        <v>1.04</v>
      </c>
      <c r="Q129">
        <f t="shared" si="1"/>
        <v>0.04</v>
      </c>
      <c r="R129">
        <v>48</v>
      </c>
      <c r="S129">
        <v>0</v>
      </c>
      <c r="T129">
        <v>0</v>
      </c>
      <c r="U129">
        <v>1721088</v>
      </c>
      <c r="V129">
        <v>1721088</v>
      </c>
      <c r="W129">
        <v>100</v>
      </c>
      <c r="X129">
        <v>0.4597</v>
      </c>
      <c r="Y129">
        <v>0.03</v>
      </c>
      <c r="Z129">
        <v>34422</v>
      </c>
      <c r="AA129">
        <v>3.7000000000000002E-3</v>
      </c>
      <c r="AB129">
        <v>30</v>
      </c>
      <c r="AC129">
        <v>21.87</v>
      </c>
      <c r="AD129">
        <v>0.72</v>
      </c>
      <c r="AE129">
        <v>-8.98</v>
      </c>
      <c r="AF129">
        <v>0.81</v>
      </c>
      <c r="AG129">
        <v>10.62</v>
      </c>
      <c r="AH129">
        <v>6666.69</v>
      </c>
      <c r="AI129">
        <v>35.81</v>
      </c>
      <c r="AJ129">
        <v>19.03</v>
      </c>
      <c r="AK129">
        <v>17.84</v>
      </c>
    </row>
    <row r="130" spans="1:37" x14ac:dyDescent="0.35">
      <c r="A130" t="s">
        <v>161</v>
      </c>
      <c r="B130" t="s">
        <v>162</v>
      </c>
      <c r="C130">
        <v>12</v>
      </c>
      <c r="D130" t="s">
        <v>158</v>
      </c>
      <c r="E130" t="s">
        <v>40</v>
      </c>
      <c r="F130">
        <v>1</v>
      </c>
      <c r="G130" t="s">
        <v>41</v>
      </c>
      <c r="H130">
        <v>8</v>
      </c>
      <c r="I130">
        <v>8</v>
      </c>
      <c r="J130" t="s">
        <v>42</v>
      </c>
      <c r="K130">
        <v>2</v>
      </c>
      <c r="L130">
        <v>0.47849999999999998</v>
      </c>
      <c r="M130">
        <v>50</v>
      </c>
      <c r="N130">
        <v>50</v>
      </c>
      <c r="O130">
        <v>0</v>
      </c>
      <c r="P130">
        <v>1</v>
      </c>
      <c r="Q130">
        <f t="shared" si="1"/>
        <v>0</v>
      </c>
      <c r="R130">
        <v>50</v>
      </c>
      <c r="S130">
        <v>0</v>
      </c>
      <c r="T130">
        <v>0</v>
      </c>
      <c r="U130">
        <v>1792800</v>
      </c>
      <c r="V130">
        <v>1792800</v>
      </c>
      <c r="W130">
        <v>100</v>
      </c>
      <c r="X130">
        <v>0.4788</v>
      </c>
      <c r="Y130">
        <v>0.04</v>
      </c>
      <c r="Z130">
        <v>35856</v>
      </c>
      <c r="AA130">
        <v>3.8E-3</v>
      </c>
      <c r="AB130">
        <v>30</v>
      </c>
      <c r="AC130">
        <v>21.87</v>
      </c>
      <c r="AD130">
        <v>0.72</v>
      </c>
      <c r="AE130">
        <v>-8.9700000000000006</v>
      </c>
      <c r="AF130">
        <v>0.86</v>
      </c>
      <c r="AG130">
        <v>10.1</v>
      </c>
      <c r="AH130">
        <v>6666.69</v>
      </c>
      <c r="AI130">
        <v>35.81</v>
      </c>
      <c r="AJ130">
        <v>19.670000000000002</v>
      </c>
      <c r="AK130">
        <v>18.29</v>
      </c>
    </row>
    <row r="131" spans="1:37" x14ac:dyDescent="0.35">
      <c r="A131" t="s">
        <v>163</v>
      </c>
      <c r="B131" t="s">
        <v>164</v>
      </c>
      <c r="C131">
        <v>2</v>
      </c>
      <c r="D131" t="s">
        <v>158</v>
      </c>
      <c r="E131" t="s">
        <v>40</v>
      </c>
      <c r="F131">
        <v>1</v>
      </c>
      <c r="G131" t="s">
        <v>41</v>
      </c>
      <c r="H131">
        <v>8</v>
      </c>
      <c r="I131">
        <v>8</v>
      </c>
      <c r="J131" t="s">
        <v>42</v>
      </c>
      <c r="K131">
        <v>2</v>
      </c>
      <c r="L131">
        <v>0.47849999999999998</v>
      </c>
      <c r="M131">
        <v>50</v>
      </c>
      <c r="N131">
        <v>14</v>
      </c>
      <c r="O131">
        <v>36</v>
      </c>
      <c r="P131">
        <v>3.57</v>
      </c>
      <c r="Q131">
        <f t="shared" ref="Q131:Q141" si="2">O131/M131</f>
        <v>0.72</v>
      </c>
      <c r="R131">
        <v>11</v>
      </c>
      <c r="S131">
        <v>3</v>
      </c>
      <c r="T131">
        <v>0.21429999999999999</v>
      </c>
      <c r="U131">
        <v>501984</v>
      </c>
      <c r="V131">
        <v>394416</v>
      </c>
      <c r="W131">
        <v>78.569999999999993</v>
      </c>
      <c r="X131">
        <v>0.1053</v>
      </c>
      <c r="Y131">
        <v>0.01</v>
      </c>
      <c r="Z131">
        <v>7888</v>
      </c>
      <c r="AA131">
        <v>8.0000000000000004E-4</v>
      </c>
      <c r="AB131">
        <v>30</v>
      </c>
      <c r="AC131">
        <v>21.87</v>
      </c>
      <c r="AD131">
        <v>0.72</v>
      </c>
      <c r="AE131">
        <v>-8.2799999999999994</v>
      </c>
      <c r="AF131">
        <v>0.69</v>
      </c>
      <c r="AG131">
        <v>5</v>
      </c>
      <c r="AH131">
        <v>6666.69</v>
      </c>
      <c r="AI131">
        <v>35.81</v>
      </c>
      <c r="AJ131">
        <v>16.36</v>
      </c>
      <c r="AK131">
        <v>15.68</v>
      </c>
    </row>
    <row r="132" spans="1:37" x14ac:dyDescent="0.35">
      <c r="A132" t="s">
        <v>165</v>
      </c>
      <c r="B132" t="s">
        <v>166</v>
      </c>
      <c r="C132">
        <v>4</v>
      </c>
      <c r="D132" t="s">
        <v>158</v>
      </c>
      <c r="E132" t="s">
        <v>40</v>
      </c>
      <c r="F132">
        <v>1</v>
      </c>
      <c r="G132" t="s">
        <v>41</v>
      </c>
      <c r="H132">
        <v>8</v>
      </c>
      <c r="I132">
        <v>8</v>
      </c>
      <c r="J132" t="s">
        <v>42</v>
      </c>
      <c r="K132">
        <v>2</v>
      </c>
      <c r="L132">
        <v>0.47849999999999998</v>
      </c>
      <c r="M132">
        <v>50</v>
      </c>
      <c r="N132">
        <v>20</v>
      </c>
      <c r="O132">
        <v>30</v>
      </c>
      <c r="P132">
        <v>2.5</v>
      </c>
      <c r="Q132">
        <f t="shared" si="2"/>
        <v>0.6</v>
      </c>
      <c r="R132">
        <v>20</v>
      </c>
      <c r="S132">
        <v>0</v>
      </c>
      <c r="T132">
        <v>0</v>
      </c>
      <c r="U132">
        <v>717120</v>
      </c>
      <c r="V132">
        <v>717120</v>
      </c>
      <c r="W132">
        <v>100</v>
      </c>
      <c r="X132">
        <v>0.1915</v>
      </c>
      <c r="Y132">
        <v>0.01</v>
      </c>
      <c r="Z132">
        <v>14342</v>
      </c>
      <c r="AA132">
        <v>1.5E-3</v>
      </c>
      <c r="AB132">
        <v>30</v>
      </c>
      <c r="AC132">
        <v>21.87</v>
      </c>
      <c r="AD132">
        <v>0.72</v>
      </c>
      <c r="AE132">
        <v>-8.57</v>
      </c>
      <c r="AF132">
        <v>0.73</v>
      </c>
      <c r="AG132">
        <v>5.79</v>
      </c>
      <c r="AH132">
        <v>6666.69</v>
      </c>
      <c r="AI132">
        <v>35.81</v>
      </c>
      <c r="AJ132">
        <v>16.850000000000001</v>
      </c>
      <c r="AK132">
        <v>16.21</v>
      </c>
    </row>
    <row r="133" spans="1:37" x14ac:dyDescent="0.35">
      <c r="A133" t="s">
        <v>167</v>
      </c>
      <c r="B133" t="s">
        <v>168</v>
      </c>
      <c r="C133">
        <v>6</v>
      </c>
      <c r="D133" t="s">
        <v>158</v>
      </c>
      <c r="E133" t="s">
        <v>40</v>
      </c>
      <c r="F133">
        <v>1</v>
      </c>
      <c r="G133" t="s">
        <v>41</v>
      </c>
      <c r="H133">
        <v>8</v>
      </c>
      <c r="I133">
        <v>8</v>
      </c>
      <c r="J133" t="s">
        <v>42</v>
      </c>
      <c r="K133">
        <v>2</v>
      </c>
      <c r="L133">
        <v>0.47849999999999998</v>
      </c>
      <c r="M133">
        <v>50</v>
      </c>
      <c r="N133">
        <v>25</v>
      </c>
      <c r="O133">
        <v>25</v>
      </c>
      <c r="P133">
        <v>2</v>
      </c>
      <c r="Q133">
        <f t="shared" si="2"/>
        <v>0.5</v>
      </c>
      <c r="R133">
        <v>25</v>
      </c>
      <c r="S133">
        <v>0</v>
      </c>
      <c r="T133">
        <v>0</v>
      </c>
      <c r="U133">
        <v>896400</v>
      </c>
      <c r="V133">
        <v>896400</v>
      </c>
      <c r="W133">
        <v>100</v>
      </c>
      <c r="X133">
        <v>0.2394</v>
      </c>
      <c r="Y133">
        <v>0.02</v>
      </c>
      <c r="Z133">
        <v>17928</v>
      </c>
      <c r="AA133">
        <v>1.9E-3</v>
      </c>
      <c r="AB133">
        <v>30</v>
      </c>
      <c r="AC133">
        <v>21.87</v>
      </c>
      <c r="AD133">
        <v>0.72</v>
      </c>
      <c r="AE133">
        <v>-8.77</v>
      </c>
      <c r="AF133">
        <v>0.76</v>
      </c>
      <c r="AG133">
        <v>6.85</v>
      </c>
      <c r="AH133">
        <v>6666.69</v>
      </c>
      <c r="AI133">
        <v>35.81</v>
      </c>
      <c r="AJ133">
        <v>17.399999999999999</v>
      </c>
      <c r="AK133">
        <v>16.690000000000001</v>
      </c>
    </row>
    <row r="134" spans="1:37" x14ac:dyDescent="0.35">
      <c r="A134" t="s">
        <v>169</v>
      </c>
      <c r="B134" t="s">
        <v>170</v>
      </c>
      <c r="C134">
        <v>8</v>
      </c>
      <c r="D134" t="s">
        <v>158</v>
      </c>
      <c r="E134" t="s">
        <v>40</v>
      </c>
      <c r="F134">
        <v>1</v>
      </c>
      <c r="G134" t="s">
        <v>41</v>
      </c>
      <c r="H134">
        <v>8</v>
      </c>
      <c r="I134">
        <v>8</v>
      </c>
      <c r="J134" t="s">
        <v>42</v>
      </c>
      <c r="K134">
        <v>2</v>
      </c>
      <c r="L134">
        <v>0.47849999999999998</v>
      </c>
      <c r="M134">
        <v>50</v>
      </c>
      <c r="N134">
        <v>37</v>
      </c>
      <c r="O134">
        <v>13</v>
      </c>
      <c r="P134">
        <v>1.35</v>
      </c>
      <c r="Q134">
        <f t="shared" si="2"/>
        <v>0.26</v>
      </c>
      <c r="R134">
        <v>37</v>
      </c>
      <c r="S134">
        <v>0</v>
      </c>
      <c r="T134">
        <v>0</v>
      </c>
      <c r="U134">
        <v>1326672</v>
      </c>
      <c r="V134">
        <v>1326672</v>
      </c>
      <c r="W134">
        <v>100</v>
      </c>
      <c r="X134">
        <v>0.3543</v>
      </c>
      <c r="Y134">
        <v>0.03</v>
      </c>
      <c r="Z134">
        <v>26533</v>
      </c>
      <c r="AA134">
        <v>2.8E-3</v>
      </c>
      <c r="AB134">
        <v>30</v>
      </c>
      <c r="AC134">
        <v>21.87</v>
      </c>
      <c r="AD134">
        <v>0.72</v>
      </c>
      <c r="AE134">
        <v>-8.9</v>
      </c>
      <c r="AF134">
        <v>0.79</v>
      </c>
      <c r="AG134">
        <v>8.41</v>
      </c>
      <c r="AH134">
        <v>6666.69</v>
      </c>
      <c r="AI134">
        <v>35.81</v>
      </c>
      <c r="AJ134">
        <v>18.09</v>
      </c>
      <c r="AK134">
        <v>17.2</v>
      </c>
    </row>
    <row r="135" spans="1:37" x14ac:dyDescent="0.35">
      <c r="A135" t="s">
        <v>171</v>
      </c>
      <c r="B135" t="s">
        <v>172</v>
      </c>
      <c r="C135">
        <v>0</v>
      </c>
      <c r="D135" t="s">
        <v>173</v>
      </c>
      <c r="E135" t="s">
        <v>40</v>
      </c>
      <c r="F135">
        <v>1</v>
      </c>
      <c r="G135" t="s">
        <v>41</v>
      </c>
      <c r="H135">
        <v>8</v>
      </c>
      <c r="I135">
        <v>8</v>
      </c>
      <c r="J135" t="s">
        <v>42</v>
      </c>
      <c r="K135">
        <v>2</v>
      </c>
      <c r="L135">
        <v>0.47849999999999998</v>
      </c>
      <c r="M135">
        <v>50</v>
      </c>
      <c r="N135">
        <v>50</v>
      </c>
      <c r="O135">
        <v>0</v>
      </c>
      <c r="P135">
        <v>1</v>
      </c>
      <c r="Q135">
        <f t="shared" si="2"/>
        <v>0</v>
      </c>
      <c r="R135">
        <v>50</v>
      </c>
      <c r="S135">
        <v>0</v>
      </c>
      <c r="T135">
        <v>0</v>
      </c>
      <c r="U135">
        <v>602000</v>
      </c>
      <c r="V135">
        <v>602000</v>
      </c>
      <c r="W135">
        <v>100</v>
      </c>
      <c r="X135">
        <v>0.4824</v>
      </c>
      <c r="Y135">
        <v>0.01</v>
      </c>
      <c r="Z135">
        <v>12040</v>
      </c>
      <c r="AA135">
        <v>1.2999999999999999E-3</v>
      </c>
      <c r="AB135">
        <v>30</v>
      </c>
      <c r="AC135">
        <v>21.87</v>
      </c>
      <c r="AD135">
        <v>0.72</v>
      </c>
      <c r="AE135">
        <v>-7.84</v>
      </c>
      <c r="AF135">
        <v>0.6</v>
      </c>
      <c r="AG135">
        <v>3.68</v>
      </c>
      <c r="AH135">
        <v>6666.69</v>
      </c>
      <c r="AI135">
        <v>35.81</v>
      </c>
      <c r="AJ135">
        <v>7.73</v>
      </c>
      <c r="AK135">
        <v>5.98</v>
      </c>
    </row>
    <row r="136" spans="1:37" x14ac:dyDescent="0.35">
      <c r="A136" t="s">
        <v>174</v>
      </c>
      <c r="B136" t="s">
        <v>175</v>
      </c>
      <c r="C136">
        <v>10</v>
      </c>
      <c r="D136" t="s">
        <v>173</v>
      </c>
      <c r="E136" t="s">
        <v>40</v>
      </c>
      <c r="F136">
        <v>1</v>
      </c>
      <c r="G136" t="s">
        <v>41</v>
      </c>
      <c r="H136">
        <v>8</v>
      </c>
      <c r="I136">
        <v>8</v>
      </c>
      <c r="J136" t="s">
        <v>42</v>
      </c>
      <c r="K136">
        <v>2</v>
      </c>
      <c r="L136">
        <v>0.47849999999999998</v>
      </c>
      <c r="M136">
        <v>50</v>
      </c>
      <c r="N136">
        <v>50</v>
      </c>
      <c r="O136">
        <v>0</v>
      </c>
      <c r="P136">
        <v>1</v>
      </c>
      <c r="Q136">
        <f t="shared" si="2"/>
        <v>0</v>
      </c>
      <c r="R136">
        <v>50</v>
      </c>
      <c r="S136">
        <v>0</v>
      </c>
      <c r="T136">
        <v>0</v>
      </c>
      <c r="U136">
        <v>602000</v>
      </c>
      <c r="V136">
        <v>602000</v>
      </c>
      <c r="W136">
        <v>100</v>
      </c>
      <c r="X136">
        <v>0.4824</v>
      </c>
      <c r="Y136">
        <v>0.01</v>
      </c>
      <c r="Z136">
        <v>12040</v>
      </c>
      <c r="AA136">
        <v>1.2999999999999999E-3</v>
      </c>
      <c r="AB136">
        <v>30</v>
      </c>
      <c r="AC136">
        <v>21.87</v>
      </c>
      <c r="AD136">
        <v>0.72</v>
      </c>
      <c r="AE136">
        <v>-8.98</v>
      </c>
      <c r="AF136">
        <v>0.8</v>
      </c>
      <c r="AG136">
        <v>10.77</v>
      </c>
      <c r="AH136">
        <v>6666.69</v>
      </c>
      <c r="AI136">
        <v>35.81</v>
      </c>
      <c r="AJ136">
        <v>17.34</v>
      </c>
      <c r="AK136">
        <v>14.49</v>
      </c>
    </row>
    <row r="137" spans="1:37" x14ac:dyDescent="0.35">
      <c r="A137" t="s">
        <v>176</v>
      </c>
      <c r="B137" t="s">
        <v>177</v>
      </c>
      <c r="C137">
        <v>12</v>
      </c>
      <c r="D137" t="s">
        <v>173</v>
      </c>
      <c r="E137" t="s">
        <v>40</v>
      </c>
      <c r="F137">
        <v>1</v>
      </c>
      <c r="G137" t="s">
        <v>41</v>
      </c>
      <c r="H137">
        <v>8</v>
      </c>
      <c r="I137">
        <v>8</v>
      </c>
      <c r="J137" t="s">
        <v>42</v>
      </c>
      <c r="K137">
        <v>2</v>
      </c>
      <c r="L137">
        <v>0.47849999999999998</v>
      </c>
      <c r="M137">
        <v>50</v>
      </c>
      <c r="N137">
        <v>50</v>
      </c>
      <c r="O137">
        <v>0</v>
      </c>
      <c r="P137">
        <v>1</v>
      </c>
      <c r="Q137">
        <f t="shared" si="2"/>
        <v>0</v>
      </c>
      <c r="R137">
        <v>50</v>
      </c>
      <c r="S137">
        <v>0</v>
      </c>
      <c r="T137">
        <v>0</v>
      </c>
      <c r="U137">
        <v>602000</v>
      </c>
      <c r="V137">
        <v>602000</v>
      </c>
      <c r="W137">
        <v>100</v>
      </c>
      <c r="X137">
        <v>0.4824</v>
      </c>
      <c r="Y137">
        <v>0.01</v>
      </c>
      <c r="Z137">
        <v>12040</v>
      </c>
      <c r="AA137">
        <v>1.2999999999999999E-3</v>
      </c>
      <c r="AB137">
        <v>30</v>
      </c>
      <c r="AC137">
        <v>21.87</v>
      </c>
      <c r="AD137">
        <v>0.72</v>
      </c>
      <c r="AE137">
        <v>-8.9700000000000006</v>
      </c>
      <c r="AF137">
        <v>0.85</v>
      </c>
      <c r="AG137">
        <v>10.71</v>
      </c>
      <c r="AH137">
        <v>6666.69</v>
      </c>
      <c r="AI137">
        <v>35.81</v>
      </c>
      <c r="AJ137">
        <v>18.09</v>
      </c>
      <c r="AK137">
        <v>15.17</v>
      </c>
    </row>
    <row r="138" spans="1:37" x14ac:dyDescent="0.35">
      <c r="A138" t="s">
        <v>178</v>
      </c>
      <c r="B138" t="s">
        <v>179</v>
      </c>
      <c r="C138">
        <v>2</v>
      </c>
      <c r="D138" t="s">
        <v>173</v>
      </c>
      <c r="E138" t="s">
        <v>40</v>
      </c>
      <c r="F138">
        <v>1</v>
      </c>
      <c r="G138" t="s">
        <v>41</v>
      </c>
      <c r="H138">
        <v>8</v>
      </c>
      <c r="I138">
        <v>8</v>
      </c>
      <c r="J138" t="s">
        <v>42</v>
      </c>
      <c r="K138">
        <v>2</v>
      </c>
      <c r="L138">
        <v>0.47849999999999998</v>
      </c>
      <c r="M138">
        <v>50</v>
      </c>
      <c r="N138">
        <v>50</v>
      </c>
      <c r="O138">
        <v>0</v>
      </c>
      <c r="P138">
        <v>1</v>
      </c>
      <c r="Q138">
        <f t="shared" si="2"/>
        <v>0</v>
      </c>
      <c r="R138">
        <v>50</v>
      </c>
      <c r="S138">
        <v>0</v>
      </c>
      <c r="T138">
        <v>0</v>
      </c>
      <c r="U138">
        <v>602000</v>
      </c>
      <c r="V138">
        <v>602000</v>
      </c>
      <c r="W138">
        <v>100</v>
      </c>
      <c r="X138">
        <v>0.4824</v>
      </c>
      <c r="Y138">
        <v>0.01</v>
      </c>
      <c r="Z138">
        <v>12040</v>
      </c>
      <c r="AA138">
        <v>1.2999999999999999E-3</v>
      </c>
      <c r="AB138">
        <v>30</v>
      </c>
      <c r="AC138">
        <v>21.87</v>
      </c>
      <c r="AD138">
        <v>0.72</v>
      </c>
      <c r="AE138">
        <v>-8.27</v>
      </c>
      <c r="AF138">
        <v>0.67</v>
      </c>
      <c r="AG138">
        <v>4.4800000000000004</v>
      </c>
      <c r="AH138">
        <v>6666.69</v>
      </c>
      <c r="AI138">
        <v>35.81</v>
      </c>
      <c r="AJ138">
        <v>9.43</v>
      </c>
      <c r="AK138">
        <v>7.23</v>
      </c>
    </row>
    <row r="139" spans="1:37" x14ac:dyDescent="0.35">
      <c r="A139" t="s">
        <v>180</v>
      </c>
      <c r="B139" t="s">
        <v>181</v>
      </c>
      <c r="C139">
        <v>4</v>
      </c>
      <c r="D139" t="s">
        <v>173</v>
      </c>
      <c r="E139" t="s">
        <v>40</v>
      </c>
      <c r="F139">
        <v>1</v>
      </c>
      <c r="G139" t="s">
        <v>41</v>
      </c>
      <c r="H139">
        <v>8</v>
      </c>
      <c r="I139">
        <v>8</v>
      </c>
      <c r="J139" t="s">
        <v>42</v>
      </c>
      <c r="K139">
        <v>2</v>
      </c>
      <c r="L139">
        <v>0.47849999999999998</v>
      </c>
      <c r="M139">
        <v>50</v>
      </c>
      <c r="N139">
        <v>50</v>
      </c>
      <c r="O139">
        <v>0</v>
      </c>
      <c r="P139">
        <v>1</v>
      </c>
      <c r="Q139">
        <f t="shared" si="2"/>
        <v>0</v>
      </c>
      <c r="R139">
        <v>50</v>
      </c>
      <c r="S139">
        <v>0</v>
      </c>
      <c r="T139">
        <v>0</v>
      </c>
      <c r="U139">
        <v>602000</v>
      </c>
      <c r="V139">
        <v>602000</v>
      </c>
      <c r="W139">
        <v>100</v>
      </c>
      <c r="X139">
        <v>0.4824</v>
      </c>
      <c r="Y139">
        <v>0.01</v>
      </c>
      <c r="Z139">
        <v>12040</v>
      </c>
      <c r="AA139">
        <v>1.2999999999999999E-3</v>
      </c>
      <c r="AB139">
        <v>30</v>
      </c>
      <c r="AC139">
        <v>21.87</v>
      </c>
      <c r="AD139">
        <v>0.72</v>
      </c>
      <c r="AE139">
        <v>-8.57</v>
      </c>
      <c r="AF139">
        <v>0.72</v>
      </c>
      <c r="AG139">
        <v>5.53</v>
      </c>
      <c r="AH139">
        <v>6666.69</v>
      </c>
      <c r="AI139">
        <v>35.81</v>
      </c>
      <c r="AJ139">
        <v>11.33</v>
      </c>
      <c r="AK139">
        <v>8.77</v>
      </c>
    </row>
    <row r="140" spans="1:37" x14ac:dyDescent="0.35">
      <c r="A140" t="s">
        <v>182</v>
      </c>
      <c r="B140" t="s">
        <v>183</v>
      </c>
      <c r="C140">
        <v>6</v>
      </c>
      <c r="D140" t="s">
        <v>173</v>
      </c>
      <c r="E140" t="s">
        <v>40</v>
      </c>
      <c r="F140">
        <v>1</v>
      </c>
      <c r="G140" t="s">
        <v>41</v>
      </c>
      <c r="H140">
        <v>8</v>
      </c>
      <c r="I140">
        <v>8</v>
      </c>
      <c r="J140" t="s">
        <v>42</v>
      </c>
      <c r="K140">
        <v>2</v>
      </c>
      <c r="L140">
        <v>0.47849999999999998</v>
      </c>
      <c r="M140">
        <v>50</v>
      </c>
      <c r="N140">
        <v>50</v>
      </c>
      <c r="O140">
        <v>0</v>
      </c>
      <c r="P140">
        <v>1</v>
      </c>
      <c r="Q140">
        <f t="shared" si="2"/>
        <v>0</v>
      </c>
      <c r="R140">
        <v>50</v>
      </c>
      <c r="S140">
        <v>0</v>
      </c>
      <c r="T140">
        <v>0</v>
      </c>
      <c r="U140">
        <v>602000</v>
      </c>
      <c r="V140">
        <v>602000</v>
      </c>
      <c r="W140">
        <v>100</v>
      </c>
      <c r="X140">
        <v>0.4824</v>
      </c>
      <c r="Y140">
        <v>0.01</v>
      </c>
      <c r="Z140">
        <v>12040</v>
      </c>
      <c r="AA140">
        <v>1.2999999999999999E-3</v>
      </c>
      <c r="AB140">
        <v>30</v>
      </c>
      <c r="AC140">
        <v>21.87</v>
      </c>
      <c r="AD140">
        <v>0.72</v>
      </c>
      <c r="AE140">
        <v>-8.76</v>
      </c>
      <c r="AF140">
        <v>0.76</v>
      </c>
      <c r="AG140">
        <v>6.88</v>
      </c>
      <c r="AH140">
        <v>6666.69</v>
      </c>
      <c r="AI140">
        <v>35.81</v>
      </c>
      <c r="AJ140">
        <v>13.32</v>
      </c>
      <c r="AK140">
        <v>10.55</v>
      </c>
    </row>
    <row r="141" spans="1:37" x14ac:dyDescent="0.35">
      <c r="A141" t="s">
        <v>184</v>
      </c>
      <c r="B141" t="s">
        <v>185</v>
      </c>
      <c r="C141">
        <v>8</v>
      </c>
      <c r="D141" t="s">
        <v>173</v>
      </c>
      <c r="E141" t="s">
        <v>40</v>
      </c>
      <c r="F141">
        <v>1</v>
      </c>
      <c r="G141" t="s">
        <v>41</v>
      </c>
      <c r="H141">
        <v>8</v>
      </c>
      <c r="I141">
        <v>8</v>
      </c>
      <c r="J141" t="s">
        <v>42</v>
      </c>
      <c r="K141">
        <v>2</v>
      </c>
      <c r="L141">
        <v>0.47849999999999998</v>
      </c>
      <c r="M141">
        <v>50</v>
      </c>
      <c r="N141">
        <v>50</v>
      </c>
      <c r="O141">
        <v>0</v>
      </c>
      <c r="P141">
        <v>1</v>
      </c>
      <c r="Q141">
        <f t="shared" si="2"/>
        <v>0</v>
      </c>
      <c r="R141">
        <v>50</v>
      </c>
      <c r="S141">
        <v>0</v>
      </c>
      <c r="T141">
        <v>0</v>
      </c>
      <c r="U141">
        <v>602000</v>
      </c>
      <c r="V141">
        <v>602000</v>
      </c>
      <c r="W141">
        <v>100</v>
      </c>
      <c r="X141">
        <v>0.4824</v>
      </c>
      <c r="Y141">
        <v>0.01</v>
      </c>
      <c r="Z141">
        <v>12040</v>
      </c>
      <c r="AA141">
        <v>1.2999999999999999E-3</v>
      </c>
      <c r="AB141">
        <v>30</v>
      </c>
      <c r="AC141">
        <v>21.87</v>
      </c>
      <c r="AD141">
        <v>0.72</v>
      </c>
      <c r="AE141">
        <v>-8.9</v>
      </c>
      <c r="AF141">
        <v>0.78</v>
      </c>
      <c r="AG141">
        <v>8.58</v>
      </c>
      <c r="AH141">
        <v>6666.69</v>
      </c>
      <c r="AI141">
        <v>35.81</v>
      </c>
      <c r="AJ141">
        <v>15.33</v>
      </c>
      <c r="AK141">
        <v>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Ramirez</cp:lastModifiedBy>
  <dcterms:created xsi:type="dcterms:W3CDTF">2026-03-25T01:12:21Z</dcterms:created>
  <dcterms:modified xsi:type="dcterms:W3CDTF">2026-03-25T01:49:35Z</dcterms:modified>
</cp:coreProperties>
</file>