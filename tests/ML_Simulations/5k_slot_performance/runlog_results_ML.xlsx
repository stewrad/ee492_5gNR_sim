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arsewar\ee492_5gNR_sim\tests\ML_Simulations\"/>
    </mc:Choice>
  </mc:AlternateContent>
  <xr:revisionPtr revIDLastSave="0" documentId="13_ncr:1_{BCFE7975-58B9-472A-97E7-861A4DB6C56E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F3" i="1" a="1"/>
  <c r="F3" i="1" s="1"/>
  <c r="E4" i="1" a="1"/>
  <c r="E4" i="1" s="1"/>
  <c r="F4" i="1" a="1"/>
  <c r="F4" i="1" s="1"/>
  <c r="E5" i="1" a="1"/>
  <c r="E5" i="1" s="1"/>
  <c r="F5" i="1" a="1"/>
  <c r="F5" i="1" s="1"/>
  <c r="E6" i="1" a="1"/>
  <c r="E6" i="1" s="1"/>
  <c r="F6" i="1" a="1"/>
  <c r="F6" i="1"/>
  <c r="E7" i="1" a="1"/>
  <c r="E7" i="1" s="1"/>
  <c r="F7" i="1" a="1"/>
  <c r="F7" i="1"/>
  <c r="E8" i="1" a="1"/>
  <c r="E8" i="1" s="1"/>
  <c r="F8" i="1" a="1"/>
  <c r="F8" i="1" s="1"/>
  <c r="E9" i="1" a="1"/>
  <c r="E9" i="1" s="1"/>
  <c r="F9" i="1" a="1"/>
  <c r="F9" i="1"/>
  <c r="E10" i="1" a="1"/>
  <c r="E10" i="1" s="1"/>
  <c r="F10" i="1" a="1"/>
  <c r="F10" i="1"/>
  <c r="E11" i="1" a="1"/>
  <c r="E11" i="1" s="1"/>
  <c r="F11" i="1" a="1"/>
  <c r="F11" i="1" s="1"/>
  <c r="E12" i="1" a="1"/>
  <c r="E12" i="1" s="1"/>
  <c r="F12" i="1" a="1"/>
  <c r="F12" i="1" s="1"/>
  <c r="E13" i="1" a="1"/>
  <c r="E13" i="1" s="1"/>
  <c r="F13" i="1" a="1"/>
  <c r="F13" i="1" s="1"/>
  <c r="E14" i="1" a="1"/>
  <c r="E14" i="1" s="1"/>
  <c r="F14" i="1" a="1"/>
  <c r="F14" i="1" s="1"/>
  <c r="E15" i="1" a="1"/>
  <c r="E15" i="1" s="1"/>
  <c r="F15" i="1" a="1"/>
  <c r="F15" i="1"/>
  <c r="E16" i="1" a="1"/>
  <c r="E16" i="1" s="1"/>
  <c r="F16" i="1" a="1"/>
  <c r="F16" i="1" s="1"/>
  <c r="E17" i="1" a="1"/>
  <c r="E17" i="1" s="1"/>
  <c r="F17" i="1" a="1"/>
  <c r="F17" i="1"/>
  <c r="E18" i="1" a="1"/>
  <c r="E18" i="1" s="1"/>
  <c r="F18" i="1" a="1"/>
  <c r="F18" i="1"/>
  <c r="E19" i="1" a="1"/>
  <c r="E19" i="1" s="1"/>
  <c r="F19" i="1" a="1"/>
  <c r="F19" i="1" s="1"/>
  <c r="E20" i="1" a="1"/>
  <c r="E20" i="1" s="1"/>
  <c r="F20" i="1" a="1"/>
  <c r="F20" i="1" s="1"/>
  <c r="E21" i="1" a="1"/>
  <c r="E21" i="1" s="1"/>
  <c r="F21" i="1" a="1"/>
  <c r="F21" i="1" s="1"/>
  <c r="E22" i="1" a="1"/>
  <c r="E22" i="1" s="1"/>
  <c r="F22" i="1" a="1"/>
  <c r="F22" i="1"/>
  <c r="E23" i="1" a="1"/>
  <c r="E23" i="1" s="1"/>
  <c r="F23" i="1" a="1"/>
  <c r="F23" i="1"/>
  <c r="E24" i="1" a="1"/>
  <c r="E24" i="1" s="1"/>
  <c r="F24" i="1" a="1"/>
  <c r="F24" i="1" s="1"/>
  <c r="E25" i="1" a="1"/>
  <c r="E25" i="1" s="1"/>
  <c r="F25" i="1" a="1"/>
  <c r="F25" i="1"/>
  <c r="E26" i="1" a="1"/>
  <c r="E26" i="1" s="1"/>
  <c r="F26" i="1" a="1"/>
  <c r="F26" i="1"/>
  <c r="E27" i="1" a="1"/>
  <c r="E27" i="1" s="1"/>
  <c r="F27" i="1" a="1"/>
  <c r="F27" i="1" s="1"/>
  <c r="E28" i="1" a="1"/>
  <c r="E28" i="1" s="1"/>
  <c r="F28" i="1" a="1"/>
  <c r="F28" i="1" s="1"/>
  <c r="E29" i="1" a="1"/>
  <c r="E29" i="1" s="1"/>
  <c r="F29" i="1" a="1"/>
  <c r="F29" i="1" s="1"/>
  <c r="E30" i="1" a="1"/>
  <c r="E30" i="1" s="1"/>
  <c r="F30" i="1" a="1"/>
  <c r="F30" i="1"/>
  <c r="E31" i="1" a="1"/>
  <c r="E31" i="1" s="1"/>
  <c r="F31" i="1" a="1"/>
  <c r="F31" i="1" s="1"/>
  <c r="E32" i="1" a="1"/>
  <c r="E32" i="1" s="1"/>
  <c r="F32" i="1" a="1"/>
  <c r="F32" i="1" s="1"/>
  <c r="E33" i="1" a="1"/>
  <c r="E33" i="1" s="1"/>
  <c r="F33" i="1" a="1"/>
  <c r="F33" i="1"/>
  <c r="E34" i="1" a="1"/>
  <c r="E34" i="1" s="1"/>
  <c r="F34" i="1" a="1"/>
  <c r="F34" i="1"/>
  <c r="E35" i="1" a="1"/>
  <c r="E35" i="1" s="1"/>
  <c r="F35" i="1" a="1"/>
  <c r="F35" i="1" s="1"/>
  <c r="E36" i="1" a="1"/>
  <c r="E36" i="1" s="1"/>
  <c r="F36" i="1" a="1"/>
  <c r="F36" i="1" s="1"/>
  <c r="E37" i="1" a="1"/>
  <c r="E37" i="1" s="1"/>
  <c r="F37" i="1" a="1"/>
  <c r="F37" i="1" s="1"/>
  <c r="E38" i="1" a="1"/>
  <c r="E38" i="1" s="1"/>
  <c r="F38" i="1" a="1"/>
  <c r="F38" i="1"/>
  <c r="E39" i="1" a="1"/>
  <c r="E39" i="1" s="1"/>
  <c r="F39" i="1" a="1"/>
  <c r="F39" i="1" s="1"/>
  <c r="E40" i="1" a="1"/>
  <c r="E40" i="1" s="1"/>
  <c r="F40" i="1" a="1"/>
  <c r="F40" i="1" s="1"/>
  <c r="E41" i="1" a="1"/>
  <c r="E41" i="1" s="1"/>
  <c r="F41" i="1" a="1"/>
  <c r="F41" i="1"/>
  <c r="E42" i="1" a="1"/>
  <c r="E42" i="1" s="1"/>
  <c r="F42" i="1" a="1"/>
  <c r="F42" i="1"/>
  <c r="E43" i="1" a="1"/>
  <c r="E43" i="1" s="1"/>
  <c r="F43" i="1" a="1"/>
  <c r="F43" i="1" s="1"/>
  <c r="E44" i="1" a="1"/>
  <c r="E44" i="1" s="1"/>
  <c r="F44" i="1" a="1"/>
  <c r="F44" i="1" s="1"/>
  <c r="E45" i="1" a="1"/>
  <c r="E45" i="1" s="1"/>
  <c r="F45" i="1" a="1"/>
  <c r="F45" i="1" s="1"/>
  <c r="E46" i="1" a="1"/>
  <c r="E46" i="1" s="1"/>
  <c r="F46" i="1" a="1"/>
  <c r="F46" i="1"/>
  <c r="E47" i="1" a="1"/>
  <c r="E47" i="1" s="1"/>
  <c r="F47" i="1" a="1"/>
  <c r="F47" i="1" s="1"/>
  <c r="E48" i="1" a="1"/>
  <c r="E48" i="1" s="1"/>
  <c r="F48" i="1" a="1"/>
  <c r="F48" i="1" s="1"/>
  <c r="E49" i="1" a="1"/>
  <c r="E49" i="1" s="1"/>
  <c r="F49" i="1" a="1"/>
  <c r="F49" i="1"/>
  <c r="E50" i="1" a="1"/>
  <c r="E50" i="1" s="1"/>
  <c r="F50" i="1" a="1"/>
  <c r="F50" i="1"/>
  <c r="E51" i="1" a="1"/>
  <c r="E51" i="1" s="1"/>
  <c r="F51" i="1" a="1"/>
  <c r="F51" i="1" s="1"/>
  <c r="E52" i="1" a="1"/>
  <c r="E52" i="1" s="1"/>
  <c r="F52" i="1" a="1"/>
  <c r="F52" i="1" s="1"/>
  <c r="E53" i="1" a="1"/>
  <c r="E53" i="1" s="1"/>
  <c r="F53" i="1" a="1"/>
  <c r="F53" i="1" s="1"/>
  <c r="E54" i="1" a="1"/>
  <c r="E54" i="1" s="1"/>
  <c r="F54" i="1" a="1"/>
  <c r="F54" i="1"/>
  <c r="E55" i="1" a="1"/>
  <c r="E55" i="1" s="1"/>
  <c r="F55" i="1" a="1"/>
  <c r="F55" i="1" s="1"/>
  <c r="E56" i="1" a="1"/>
  <c r="E56" i="1" s="1"/>
  <c r="F56" i="1" a="1"/>
  <c r="F56" i="1" s="1"/>
  <c r="E57" i="1" a="1"/>
  <c r="E57" i="1" s="1"/>
  <c r="F57" i="1" a="1"/>
  <c r="F57" i="1"/>
  <c r="E58" i="1" a="1"/>
  <c r="E58" i="1" s="1"/>
  <c r="F58" i="1" a="1"/>
  <c r="F58" i="1"/>
  <c r="E59" i="1" a="1"/>
  <c r="E59" i="1" s="1"/>
  <c r="F59" i="1" a="1"/>
  <c r="F59" i="1" s="1"/>
  <c r="E60" i="1" a="1"/>
  <c r="E60" i="1" s="1"/>
  <c r="F60" i="1" a="1"/>
  <c r="F60" i="1" s="1"/>
  <c r="E61" i="1" a="1"/>
  <c r="E61" i="1" s="1"/>
  <c r="F61" i="1" a="1"/>
  <c r="F61" i="1" s="1"/>
  <c r="E62" i="1" a="1"/>
  <c r="E62" i="1" s="1"/>
  <c r="F62" i="1" a="1"/>
  <c r="F62" i="1" s="1"/>
  <c r="E63" i="1" a="1"/>
  <c r="E63" i="1" s="1"/>
  <c r="F63" i="1" a="1"/>
  <c r="F63" i="1" s="1"/>
  <c r="E64" i="1" a="1"/>
  <c r="E64" i="1" s="1"/>
  <c r="F64" i="1" a="1"/>
  <c r="F64" i="1" s="1"/>
  <c r="E65" i="1" a="1"/>
  <c r="E65" i="1" s="1"/>
  <c r="F65" i="1" a="1"/>
  <c r="F65" i="1" s="1"/>
  <c r="E66" i="1" a="1"/>
  <c r="E66" i="1" s="1"/>
  <c r="F66" i="1" a="1"/>
  <c r="F66" i="1"/>
  <c r="E67" i="1" a="1"/>
  <c r="E67" i="1" s="1"/>
  <c r="F67" i="1" a="1"/>
  <c r="F67" i="1" s="1"/>
  <c r="E68" i="1" a="1"/>
  <c r="E68" i="1" s="1"/>
  <c r="F68" i="1" a="1"/>
  <c r="F68" i="1" s="1"/>
  <c r="E69" i="1" a="1"/>
  <c r="E69" i="1" s="1"/>
  <c r="F69" i="1" a="1"/>
  <c r="F69" i="1" s="1"/>
  <c r="E70" i="1" a="1"/>
  <c r="E70" i="1" s="1"/>
  <c r="F70" i="1" a="1"/>
  <c r="F70" i="1" s="1"/>
  <c r="E71" i="1" a="1"/>
  <c r="E71" i="1" s="1"/>
  <c r="F71" i="1" a="1"/>
  <c r="F71" i="1" s="1"/>
  <c r="E72" i="1" a="1"/>
  <c r="E72" i="1" s="1"/>
  <c r="F72" i="1" a="1"/>
  <c r="F72" i="1" s="1"/>
  <c r="E73" i="1" a="1"/>
  <c r="E73" i="1" s="1"/>
  <c r="F73" i="1" a="1"/>
  <c r="F73" i="1" s="1"/>
  <c r="E74" i="1" a="1"/>
  <c r="E74" i="1" s="1"/>
  <c r="F74" i="1" a="1"/>
  <c r="F74" i="1"/>
  <c r="E75" i="1" a="1"/>
  <c r="E75" i="1" s="1"/>
  <c r="F75" i="1" a="1"/>
  <c r="F75" i="1" s="1"/>
  <c r="E76" i="1" a="1"/>
  <c r="E76" i="1" s="1"/>
  <c r="F76" i="1" a="1"/>
  <c r="F76" i="1" s="1"/>
  <c r="E77" i="1" a="1"/>
  <c r="E77" i="1" s="1"/>
  <c r="F77" i="1" a="1"/>
  <c r="F77" i="1" s="1"/>
  <c r="E78" i="1" a="1"/>
  <c r="E78" i="1" s="1"/>
  <c r="F78" i="1" a="1"/>
  <c r="F78" i="1" s="1"/>
  <c r="E79" i="1" a="1"/>
  <c r="E79" i="1" s="1"/>
  <c r="F79" i="1" a="1"/>
  <c r="F79" i="1" s="1"/>
  <c r="E80" i="1" a="1"/>
  <c r="E80" i="1" s="1"/>
  <c r="F80" i="1" a="1"/>
  <c r="F80" i="1" s="1"/>
  <c r="E81" i="1" a="1"/>
  <c r="E81" i="1" s="1"/>
  <c r="F81" i="1" a="1"/>
  <c r="F81" i="1" s="1"/>
  <c r="E82" i="1" a="1"/>
  <c r="E82" i="1" s="1"/>
  <c r="F82" i="1" a="1"/>
  <c r="F82" i="1"/>
  <c r="E83" i="1" a="1"/>
  <c r="E83" i="1" s="1"/>
  <c r="F83" i="1" a="1"/>
  <c r="F83" i="1" s="1"/>
  <c r="E84" i="1" a="1"/>
  <c r="E84" i="1" s="1"/>
  <c r="F84" i="1" a="1"/>
  <c r="F84" i="1" s="1"/>
  <c r="E85" i="1" a="1"/>
  <c r="E85" i="1" s="1"/>
  <c r="F85" i="1" a="1"/>
  <c r="F85" i="1" s="1"/>
  <c r="E86" i="1" a="1"/>
  <c r="E86" i="1" s="1"/>
  <c r="F86" i="1" a="1"/>
  <c r="F86" i="1" s="1"/>
  <c r="E87" i="1" a="1"/>
  <c r="E87" i="1" s="1"/>
  <c r="F87" i="1" a="1"/>
  <c r="F87" i="1" s="1"/>
  <c r="E88" i="1" a="1"/>
  <c r="E88" i="1" s="1"/>
  <c r="F88" i="1" a="1"/>
  <c r="F88" i="1" s="1"/>
  <c r="E89" i="1" a="1"/>
  <c r="E89" i="1" s="1"/>
  <c r="F89" i="1" a="1"/>
  <c r="F89" i="1" s="1"/>
  <c r="E90" i="1" a="1"/>
  <c r="E90" i="1" s="1"/>
  <c r="F90" i="1" a="1"/>
  <c r="F90" i="1"/>
  <c r="E91" i="1" a="1"/>
  <c r="E91" i="1" s="1"/>
  <c r="F91" i="1" a="1"/>
  <c r="F91" i="1" s="1"/>
  <c r="E92" i="1" a="1"/>
  <c r="E92" i="1" s="1"/>
  <c r="F92" i="1" a="1"/>
  <c r="F92" i="1" s="1"/>
  <c r="E93" i="1" a="1"/>
  <c r="E93" i="1" s="1"/>
  <c r="F93" i="1" a="1"/>
  <c r="F93" i="1" s="1"/>
  <c r="E94" i="1" a="1"/>
  <c r="E94" i="1" s="1"/>
  <c r="F94" i="1" a="1"/>
  <c r="F94" i="1" s="1"/>
  <c r="E95" i="1" a="1"/>
  <c r="E95" i="1" s="1"/>
  <c r="F95" i="1" a="1"/>
  <c r="F95" i="1" s="1"/>
  <c r="E96" i="1" a="1"/>
  <c r="E96" i="1" s="1"/>
  <c r="F96" i="1" a="1"/>
  <c r="F96" i="1" s="1"/>
  <c r="E97" i="1" a="1"/>
  <c r="E97" i="1" s="1"/>
  <c r="F97" i="1" a="1"/>
  <c r="F97" i="1" s="1"/>
  <c r="E98" i="1" a="1"/>
  <c r="E98" i="1" s="1"/>
  <c r="F98" i="1" a="1"/>
  <c r="F98" i="1"/>
  <c r="E99" i="1" a="1"/>
  <c r="E99" i="1" s="1"/>
  <c r="F99" i="1" a="1"/>
  <c r="F99" i="1" s="1"/>
  <c r="E100" i="1" a="1"/>
  <c r="E100" i="1" s="1"/>
  <c r="F100" i="1" a="1"/>
  <c r="F100" i="1" s="1"/>
  <c r="E101" i="1" a="1"/>
  <c r="E101" i="1" s="1"/>
  <c r="F101" i="1" a="1"/>
  <c r="F101" i="1" s="1"/>
  <c r="E102" i="1" a="1"/>
  <c r="E102" i="1" s="1"/>
  <c r="F102" i="1" a="1"/>
  <c r="F102" i="1" s="1"/>
  <c r="E103" i="1" a="1"/>
  <c r="E103" i="1" s="1"/>
  <c r="F103" i="1" a="1"/>
  <c r="F103" i="1" s="1"/>
  <c r="E104" i="1" a="1"/>
  <c r="E104" i="1" s="1"/>
  <c r="F104" i="1" a="1"/>
  <c r="F104" i="1" s="1"/>
  <c r="E105" i="1" a="1"/>
  <c r="E105" i="1" s="1"/>
  <c r="F105" i="1" a="1"/>
  <c r="F105" i="1" s="1"/>
  <c r="E106" i="1" a="1"/>
  <c r="E106" i="1" s="1"/>
  <c r="F106" i="1" a="1"/>
  <c r="F106" i="1"/>
  <c r="E107" i="1" a="1"/>
  <c r="E107" i="1" s="1"/>
  <c r="F107" i="1" a="1"/>
  <c r="F107" i="1" s="1"/>
  <c r="E108" i="1" a="1"/>
  <c r="E108" i="1" s="1"/>
  <c r="F108" i="1" a="1"/>
  <c r="F108" i="1" s="1"/>
  <c r="E109" i="1" a="1"/>
  <c r="E109" i="1" s="1"/>
  <c r="F109" i="1" a="1"/>
  <c r="F109" i="1" s="1"/>
  <c r="E110" i="1" a="1"/>
  <c r="E110" i="1" s="1"/>
  <c r="F110" i="1" a="1"/>
  <c r="F110" i="1" s="1"/>
  <c r="E111" i="1" a="1"/>
  <c r="E111" i="1" s="1"/>
  <c r="F111" i="1" a="1"/>
  <c r="F111" i="1" s="1"/>
  <c r="E112" i="1" a="1"/>
  <c r="E112" i="1" s="1"/>
  <c r="F112" i="1" a="1"/>
  <c r="F112" i="1" s="1"/>
  <c r="E113" i="1" a="1"/>
  <c r="E113" i="1" s="1"/>
  <c r="F113" i="1" a="1"/>
  <c r="F113" i="1" s="1"/>
  <c r="E114" i="1" a="1"/>
  <c r="E114" i="1" s="1"/>
  <c r="F114" i="1" a="1"/>
  <c r="F114" i="1"/>
  <c r="E115" i="1" a="1"/>
  <c r="E115" i="1" s="1"/>
  <c r="F115" i="1" a="1"/>
  <c r="F115" i="1" s="1"/>
  <c r="E116" i="1" a="1"/>
  <c r="E116" i="1" s="1"/>
  <c r="F116" i="1" a="1"/>
  <c r="F116" i="1" s="1"/>
  <c r="E117" i="1" a="1"/>
  <c r="E117" i="1" s="1"/>
  <c r="F117" i="1" a="1"/>
  <c r="F117" i="1" s="1"/>
  <c r="E118" i="1" a="1"/>
  <c r="E118" i="1" s="1"/>
  <c r="F118" i="1" a="1"/>
  <c r="F118" i="1" s="1"/>
  <c r="E119" i="1" a="1"/>
  <c r="E119" i="1" s="1"/>
  <c r="F119" i="1" a="1"/>
  <c r="F119" i="1" s="1"/>
  <c r="E120" i="1" a="1"/>
  <c r="E120" i="1" s="1"/>
  <c r="F120" i="1" a="1"/>
  <c r="F120" i="1" s="1"/>
  <c r="E121" i="1" a="1"/>
  <c r="E121" i="1" s="1"/>
  <c r="F121" i="1" a="1"/>
  <c r="F121" i="1" s="1"/>
  <c r="E122" i="1" a="1"/>
  <c r="E122" i="1" s="1"/>
  <c r="F122" i="1" a="1"/>
  <c r="F122" i="1"/>
  <c r="E123" i="1" a="1"/>
  <c r="E123" i="1" s="1"/>
  <c r="F123" i="1" a="1"/>
  <c r="F123" i="1" s="1"/>
  <c r="E124" i="1" a="1"/>
  <c r="E124" i="1" s="1"/>
  <c r="F124" i="1" a="1"/>
  <c r="F124" i="1" s="1"/>
  <c r="E125" i="1" a="1"/>
  <c r="E125" i="1" s="1"/>
  <c r="F125" i="1" a="1"/>
  <c r="F125" i="1" s="1"/>
  <c r="E126" i="1" a="1"/>
  <c r="E126" i="1" s="1"/>
  <c r="F126" i="1" a="1"/>
  <c r="F126" i="1" s="1"/>
  <c r="E127" i="1" a="1"/>
  <c r="E127" i="1" s="1"/>
  <c r="F127" i="1" a="1"/>
  <c r="F127" i="1" s="1"/>
  <c r="E128" i="1" a="1"/>
  <c r="E128" i="1" s="1"/>
  <c r="F128" i="1" a="1"/>
  <c r="F128" i="1" s="1"/>
  <c r="E129" i="1" a="1"/>
  <c r="E129" i="1" s="1"/>
  <c r="F129" i="1" a="1"/>
  <c r="F129" i="1" s="1"/>
  <c r="E130" i="1" a="1"/>
  <c r="E130" i="1" s="1"/>
  <c r="F130" i="1" a="1"/>
  <c r="F130" i="1"/>
  <c r="E131" i="1" a="1"/>
  <c r="E131" i="1" s="1"/>
  <c r="F131" i="1" a="1"/>
  <c r="F131" i="1" s="1"/>
  <c r="E132" i="1" a="1"/>
  <c r="E132" i="1" s="1"/>
  <c r="F132" i="1" a="1"/>
  <c r="F132" i="1" s="1"/>
  <c r="E133" i="1" a="1"/>
  <c r="E133" i="1" s="1"/>
  <c r="F133" i="1" a="1"/>
  <c r="F133" i="1" s="1"/>
  <c r="E134" i="1" a="1"/>
  <c r="E134" i="1" s="1"/>
  <c r="F134" i="1" a="1"/>
  <c r="F134" i="1" s="1"/>
  <c r="E135" i="1" a="1"/>
  <c r="E135" i="1" s="1"/>
  <c r="F135" i="1" a="1"/>
  <c r="F135" i="1" s="1"/>
  <c r="E136" i="1" a="1"/>
  <c r="E136" i="1" s="1"/>
  <c r="F136" i="1" a="1"/>
  <c r="F136" i="1" s="1"/>
  <c r="E137" i="1" a="1"/>
  <c r="E137" i="1" s="1"/>
  <c r="F137" i="1" a="1"/>
  <c r="F137" i="1" s="1"/>
  <c r="E138" i="1" a="1"/>
  <c r="E138" i="1" s="1"/>
  <c r="F138" i="1" a="1"/>
  <c r="F138" i="1"/>
  <c r="E139" i="1" a="1"/>
  <c r="E139" i="1" s="1"/>
  <c r="F139" i="1" a="1"/>
  <c r="F139" i="1" s="1"/>
  <c r="E140" i="1" a="1"/>
  <c r="E140" i="1" s="1"/>
  <c r="F140" i="1" a="1"/>
  <c r="F140" i="1" s="1"/>
  <c r="E141" i="1" a="1"/>
  <c r="E141" i="1" s="1"/>
  <c r="F141" i="1" a="1"/>
  <c r="F141" i="1" s="1"/>
  <c r="E142" i="1" a="1"/>
  <c r="E142" i="1" s="1"/>
  <c r="F142" i="1" a="1"/>
  <c r="F142" i="1" s="1"/>
  <c r="E143" i="1" a="1"/>
  <c r="E143" i="1" s="1"/>
  <c r="F143" i="1" a="1"/>
  <c r="F143" i="1" s="1"/>
  <c r="E144" i="1" a="1"/>
  <c r="E144" i="1" s="1"/>
  <c r="F144" i="1" a="1"/>
  <c r="F144" i="1" s="1"/>
  <c r="E145" i="1" a="1"/>
  <c r="E145" i="1" s="1"/>
  <c r="F145" i="1" a="1"/>
  <c r="F145" i="1" s="1"/>
  <c r="E146" i="1" a="1"/>
  <c r="E146" i="1" s="1"/>
  <c r="F146" i="1" a="1"/>
  <c r="F146" i="1"/>
  <c r="E147" i="1" a="1"/>
  <c r="E147" i="1" s="1"/>
  <c r="F147" i="1" a="1"/>
  <c r="F147" i="1" s="1"/>
  <c r="E148" i="1" a="1"/>
  <c r="E148" i="1" s="1"/>
  <c r="F148" i="1" a="1"/>
  <c r="F148" i="1" s="1"/>
  <c r="E149" i="1" a="1"/>
  <c r="E149" i="1" s="1"/>
  <c r="F149" i="1" a="1"/>
  <c r="F149" i="1" s="1"/>
  <c r="E150" i="1" a="1"/>
  <c r="E150" i="1" s="1"/>
  <c r="F150" i="1" a="1"/>
  <c r="F150" i="1" s="1"/>
  <c r="E151" i="1" a="1"/>
  <c r="E151" i="1" s="1"/>
  <c r="F151" i="1" a="1"/>
  <c r="F151" i="1" s="1"/>
  <c r="E152" i="1" a="1"/>
  <c r="E152" i="1" s="1"/>
  <c r="F152" i="1" a="1"/>
  <c r="F152" i="1" s="1"/>
  <c r="E153" i="1" a="1"/>
  <c r="E153" i="1" s="1"/>
  <c r="F153" i="1" a="1"/>
  <c r="F153" i="1" s="1"/>
  <c r="E154" i="1" a="1"/>
  <c r="E154" i="1" s="1"/>
  <c r="F154" i="1" a="1"/>
  <c r="F154" i="1"/>
  <c r="E155" i="1" a="1"/>
  <c r="E155" i="1" s="1"/>
  <c r="F155" i="1" a="1"/>
  <c r="F155" i="1" s="1"/>
  <c r="E156" i="1" a="1"/>
  <c r="E156" i="1" s="1"/>
  <c r="F156" i="1" a="1"/>
  <c r="F156" i="1" s="1"/>
  <c r="E157" i="1" a="1"/>
  <c r="E157" i="1" s="1"/>
  <c r="F157" i="1" a="1"/>
  <c r="F157" i="1" s="1"/>
  <c r="E158" i="1" a="1"/>
  <c r="E158" i="1" s="1"/>
  <c r="F158" i="1" a="1"/>
  <c r="F158" i="1" s="1"/>
  <c r="E159" i="1" a="1"/>
  <c r="E159" i="1" s="1"/>
  <c r="F159" i="1" a="1"/>
  <c r="F159" i="1" s="1"/>
  <c r="E160" i="1" a="1"/>
  <c r="E160" i="1" s="1"/>
  <c r="F160" i="1" a="1"/>
  <c r="F160" i="1" s="1"/>
  <c r="E161" i="1" a="1"/>
  <c r="E161" i="1" s="1"/>
  <c r="F161" i="1" a="1"/>
  <c r="F161" i="1" s="1"/>
  <c r="E162" i="1" a="1"/>
  <c r="E162" i="1" s="1"/>
  <c r="F162" i="1" a="1"/>
  <c r="F162" i="1"/>
  <c r="E163" i="1" a="1"/>
  <c r="E163" i="1" s="1"/>
  <c r="F163" i="1" a="1"/>
  <c r="F163" i="1" s="1"/>
  <c r="E164" i="1" a="1"/>
  <c r="E164" i="1" s="1"/>
  <c r="F164" i="1" a="1"/>
  <c r="F164" i="1" s="1"/>
  <c r="E165" i="1" a="1"/>
  <c r="E165" i="1" s="1"/>
  <c r="F165" i="1" a="1"/>
  <c r="F165" i="1" s="1"/>
  <c r="E166" i="1" a="1"/>
  <c r="E166" i="1" s="1"/>
  <c r="F166" i="1" a="1"/>
  <c r="F166" i="1" s="1"/>
  <c r="E167" i="1" a="1"/>
  <c r="E167" i="1" s="1"/>
  <c r="F167" i="1" a="1"/>
  <c r="F167" i="1" s="1"/>
  <c r="E168" i="1" a="1"/>
  <c r="E168" i="1" s="1"/>
  <c r="F168" i="1" a="1"/>
  <c r="F168" i="1" s="1"/>
  <c r="E169" i="1" a="1"/>
  <c r="E169" i="1" s="1"/>
  <c r="F169" i="1" a="1"/>
  <c r="F169" i="1" s="1"/>
  <c r="E170" i="1" a="1"/>
  <c r="E170" i="1" s="1"/>
  <c r="F170" i="1" a="1"/>
  <c r="F170" i="1"/>
  <c r="E171" i="1" a="1"/>
  <c r="E171" i="1" s="1"/>
  <c r="F171" i="1" a="1"/>
  <c r="F171" i="1" s="1"/>
  <c r="E172" i="1" a="1"/>
  <c r="E172" i="1" s="1"/>
  <c r="F172" i="1" a="1"/>
  <c r="F172" i="1" s="1"/>
  <c r="E173" i="1" a="1"/>
  <c r="E173" i="1" s="1"/>
  <c r="F173" i="1" a="1"/>
  <c r="F173" i="1" s="1"/>
  <c r="E174" i="1" a="1"/>
  <c r="E174" i="1" s="1"/>
  <c r="F174" i="1" a="1"/>
  <c r="F174" i="1" s="1"/>
  <c r="E175" i="1" a="1"/>
  <c r="E175" i="1" s="1"/>
  <c r="F175" i="1" a="1"/>
  <c r="F175" i="1" s="1"/>
  <c r="E176" i="1" a="1"/>
  <c r="E176" i="1" s="1"/>
  <c r="F176" i="1" a="1"/>
  <c r="F176" i="1" s="1"/>
  <c r="E177" i="1" a="1"/>
  <c r="E177" i="1" s="1"/>
  <c r="F177" i="1" a="1"/>
  <c r="F177" i="1" s="1"/>
  <c r="E178" i="1" a="1"/>
  <c r="E178" i="1" s="1"/>
  <c r="F178" i="1" a="1"/>
  <c r="F178" i="1"/>
  <c r="E179" i="1" a="1"/>
  <c r="E179" i="1" s="1"/>
  <c r="F179" i="1" a="1"/>
  <c r="F179" i="1" s="1"/>
  <c r="E180" i="1" a="1"/>
  <c r="E180" i="1" s="1"/>
  <c r="F180" i="1" a="1"/>
  <c r="F180" i="1" s="1"/>
  <c r="E181" i="1" a="1"/>
  <c r="E181" i="1" s="1"/>
  <c r="F181" i="1" a="1"/>
  <c r="F181" i="1" s="1"/>
  <c r="E182" i="1" a="1"/>
  <c r="E182" i="1" s="1"/>
  <c r="F182" i="1" a="1"/>
  <c r="F182" i="1" s="1"/>
  <c r="E183" i="1" a="1"/>
  <c r="E183" i="1" s="1"/>
  <c r="F183" i="1" a="1"/>
  <c r="F183" i="1" s="1"/>
  <c r="E184" i="1" a="1"/>
  <c r="E184" i="1" s="1"/>
  <c r="F184" i="1" a="1"/>
  <c r="F184" i="1" s="1"/>
  <c r="E185" i="1" a="1"/>
  <c r="E185" i="1" s="1"/>
  <c r="F185" i="1" a="1"/>
  <c r="F185" i="1" s="1"/>
  <c r="E186" i="1" a="1"/>
  <c r="E186" i="1" s="1"/>
  <c r="F186" i="1" a="1"/>
  <c r="F186" i="1"/>
  <c r="E187" i="1" a="1"/>
  <c r="E187" i="1" s="1"/>
  <c r="F187" i="1" a="1"/>
  <c r="F187" i="1" s="1"/>
  <c r="E188" i="1" a="1"/>
  <c r="E188" i="1" s="1"/>
  <c r="F188" i="1" a="1"/>
  <c r="F188" i="1" s="1"/>
  <c r="E189" i="1" a="1"/>
  <c r="E189" i="1" s="1"/>
  <c r="F189" i="1" a="1"/>
  <c r="F189" i="1" s="1"/>
  <c r="E190" i="1" a="1"/>
  <c r="E190" i="1" s="1"/>
  <c r="F190" i="1" a="1"/>
  <c r="F190" i="1" s="1"/>
  <c r="E191" i="1" a="1"/>
  <c r="E191" i="1" s="1"/>
  <c r="F191" i="1" a="1"/>
  <c r="F191" i="1" s="1"/>
  <c r="E192" i="1" a="1"/>
  <c r="E192" i="1" s="1"/>
  <c r="F192" i="1" a="1"/>
  <c r="F192" i="1" s="1"/>
  <c r="E193" i="1" a="1"/>
  <c r="E193" i="1" s="1"/>
  <c r="F193" i="1" a="1"/>
  <c r="F193" i="1" s="1"/>
  <c r="E194" i="1" a="1"/>
  <c r="E194" i="1" s="1"/>
  <c r="F194" i="1" a="1"/>
  <c r="F194" i="1"/>
  <c r="E195" i="1" a="1"/>
  <c r="E195" i="1" s="1"/>
  <c r="F195" i="1" a="1"/>
  <c r="F195" i="1" s="1"/>
  <c r="E196" i="1" a="1"/>
  <c r="E196" i="1" s="1"/>
  <c r="F196" i="1" a="1"/>
  <c r="F196" i="1" s="1"/>
  <c r="E197" i="1" a="1"/>
  <c r="E197" i="1" s="1"/>
  <c r="F197" i="1" a="1"/>
  <c r="F197" i="1" s="1"/>
  <c r="E198" i="1" a="1"/>
  <c r="E198" i="1" s="1"/>
  <c r="F198" i="1" a="1"/>
  <c r="F198" i="1" s="1"/>
  <c r="E199" i="1" a="1"/>
  <c r="E199" i="1" s="1"/>
  <c r="F199" i="1" a="1"/>
  <c r="F199" i="1" s="1"/>
  <c r="E200" i="1" a="1"/>
  <c r="E200" i="1" s="1"/>
  <c r="F200" i="1" a="1"/>
  <c r="F200" i="1" s="1"/>
  <c r="E201" i="1" a="1"/>
  <c r="E201" i="1" s="1"/>
  <c r="F201" i="1" a="1"/>
  <c r="F201" i="1" s="1"/>
  <c r="E202" i="1" a="1"/>
  <c r="E202" i="1" s="1"/>
  <c r="F202" i="1" a="1"/>
  <c r="F202" i="1"/>
  <c r="E203" i="1" a="1"/>
  <c r="E203" i="1" s="1"/>
  <c r="F203" i="1" a="1"/>
  <c r="F203" i="1" s="1"/>
  <c r="E204" i="1" a="1"/>
  <c r="E204" i="1" s="1"/>
  <c r="F204" i="1" a="1"/>
  <c r="F204" i="1" s="1"/>
  <c r="E205" i="1" a="1"/>
  <c r="E205" i="1" s="1"/>
  <c r="F205" i="1" a="1"/>
  <c r="F205" i="1" s="1"/>
  <c r="E206" i="1" a="1"/>
  <c r="E206" i="1" s="1"/>
  <c r="F206" i="1" a="1"/>
  <c r="F206" i="1" s="1"/>
  <c r="E207" i="1" a="1"/>
  <c r="E207" i="1" s="1"/>
  <c r="F207" i="1" a="1"/>
  <c r="F207" i="1" s="1"/>
  <c r="E208" i="1" a="1"/>
  <c r="E208" i="1" s="1"/>
  <c r="F208" i="1" a="1"/>
  <c r="F208" i="1" s="1"/>
  <c r="E209" i="1" a="1"/>
  <c r="E209" i="1" s="1"/>
  <c r="F209" i="1" a="1"/>
  <c r="F209" i="1" s="1"/>
  <c r="E210" i="1" a="1"/>
  <c r="E210" i="1" s="1"/>
  <c r="F210" i="1" a="1"/>
  <c r="F210" i="1"/>
  <c r="E211" i="1" a="1"/>
  <c r="E211" i="1" s="1"/>
  <c r="F211" i="1" a="1"/>
  <c r="F211" i="1" s="1"/>
  <c r="F2" i="1" a="1"/>
  <c r="F2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<sst xmlns="http://schemas.openxmlformats.org/spreadsheetml/2006/main" count="1320" uniqueCount="477">
  <si>
    <t>Source File</t>
  </si>
  <si>
    <t>Timestamp</t>
  </si>
  <si>
    <t>SNRdB</t>
  </si>
  <si>
    <t>Modulation</t>
  </si>
  <si>
    <t>HARQ Type</t>
  </si>
  <si>
    <t>NHARQProcesses</t>
  </si>
  <si>
    <t>rvSeq</t>
  </si>
  <si>
    <t>nTxAnts</t>
  </si>
  <si>
    <t>nRxAnts</t>
  </si>
  <si>
    <t>DelayProfile</t>
  </si>
  <si>
    <t>NumLayers</t>
  </si>
  <si>
    <t>Code Rate</t>
  </si>
  <si>
    <t>Nominal Code Rate</t>
  </si>
  <si>
    <t>Total Transmissions</t>
  </si>
  <si>
    <t>Initial Transmissions</t>
  </si>
  <si>
    <t>Retransmissions</t>
  </si>
  <si>
    <t>Average Transmissions per TB</t>
  </si>
  <si>
    <t>Retransmission Rate (%)</t>
  </si>
  <si>
    <t>TBs Requiring Retransmission</t>
  </si>
  <si>
    <t>Average Retransmission Attempts per TB</t>
  </si>
  <si>
    <t>Successful Blocks</t>
  </si>
  <si>
    <t>Failed Blocks (after max retx)</t>
  </si>
  <si>
    <t>Attempt BLER % (pre-HARQ)</t>
  </si>
  <si>
    <t>Block Error Rate (BLER %)</t>
  </si>
  <si>
    <t>Total Bits Transmitted</t>
  </si>
  <si>
    <t>Total Bits Received</t>
  </si>
  <si>
    <t>Total Information Bits Sent (all HARQ attempts)</t>
  </si>
  <si>
    <t>Total Information Bits Delivered Successfully</t>
  </si>
  <si>
    <t>Total Coded Bits Transmitted</t>
  </si>
  <si>
    <t>Throughput Efficiency (%)</t>
  </si>
  <si>
    <t>HARQ Efficiency (%)</t>
  </si>
  <si>
    <t>Time Slot Duration (ms)</t>
  </si>
  <si>
    <t>Estimated Latency (ms)</t>
  </si>
  <si>
    <t>Effective Code Rate</t>
  </si>
  <si>
    <t>Average Throughput (Mbps)</t>
  </si>
  <si>
    <t>Average Bits per Slot (bits)</t>
  </si>
  <si>
    <t>Spectral Efficiency (bits/s/Hz)</t>
  </si>
  <si>
    <t>RMS Delay Spread (ns)</t>
  </si>
  <si>
    <t>Mean Excess Delay (ns)</t>
  </si>
  <si>
    <t>Maximum Channel Delay (us)</t>
  </si>
  <si>
    <t>Average Channel Gain (dB)</t>
  </si>
  <si>
    <t>Channel Gain Std Dev (dB)</t>
  </si>
  <si>
    <t>Average Condition Number</t>
  </si>
  <si>
    <t>Coherence Bandwidth (50% corr) (kHz)</t>
  </si>
  <si>
    <t>Coherence Time (50% corr) (ms)</t>
  </si>
  <si>
    <t>Layer 1 - Mean SINR</t>
  </si>
  <si>
    <t>Layer 2 - Mean SINR</t>
  </si>
  <si>
    <t>L1 RMS EVM (%)</t>
  </si>
  <si>
    <t>L1 Peak EVM (%)</t>
  </si>
  <si>
    <t>L1 Avg EVM (dB)</t>
  </si>
  <si>
    <t>L1 Peak EVM (dB)</t>
  </si>
  <si>
    <t>L1 Avg MER (dB)</t>
  </si>
  <si>
    <t>L2 RMS EVM (%)</t>
  </si>
  <si>
    <t>L2 Peak EVM (%)</t>
  </si>
  <si>
    <t>L2 Avg EVM (dB)</t>
  </si>
  <si>
    <t>L2 Peak EVM (dB)</t>
  </si>
  <si>
    <t>L2 Avg MER (dB)</t>
  </si>
  <si>
    <t>1024QAM_SNR0.0_TDL-C_NHARQ1_rvSeq[0231]_2x2_20260502_001842_run00057.txt</t>
  </si>
  <si>
    <t>02-May-2026 00:18:42</t>
  </si>
  <si>
    <t>1024QAM</t>
  </si>
  <si>
    <t>Chase Combining</t>
  </si>
  <si>
    <t>[0 2 3 1]</t>
  </si>
  <si>
    <t>TDL-C</t>
  </si>
  <si>
    <t>1024QAM_SNR0.0_TDL-C_NHARQ4_rvSeq[0231]_2x2_20260502_073759_run00127.txt</t>
  </si>
  <si>
    <t>02-May-2026 07:37:59</t>
  </si>
  <si>
    <t>1024QAM_SNR0.0_TDL-C_NHARQ8_rvSeq[0231]_2x2_20260502_025608_run00197.txt</t>
  </si>
  <si>
    <t>02-May-2026 02:56:08</t>
  </si>
  <si>
    <t>1024QAM_SNR10.0_TDL-C_NHARQ1_rvSeq[0231]_2x2_20260502_001348_run00067.txt</t>
  </si>
  <si>
    <t>02-May-2026 00:13:48</t>
  </si>
  <si>
    <t>1024QAM_SNR10.0_TDL-C_NHARQ1_rvSeq[0231]_2x2_20260502_041106_run00062.txt</t>
  </si>
  <si>
    <t>02-May-2026 04:11:06</t>
  </si>
  <si>
    <t>1024QAM_SNR10.0_TDL-C_NHARQ4_rvSeq[0231]_2x2_20260502_014452_run00132.txt</t>
  </si>
  <si>
    <t>02-May-2026 01:44:52</t>
  </si>
  <si>
    <t>1024QAM_SNR10.0_TDL-C_NHARQ4_rvSeq[0231]_2x2_20260502_051856_run00137.txt</t>
  </si>
  <si>
    <t>02-May-2026 05:18:56</t>
  </si>
  <si>
    <t>1024QAM_SNR10.0_TDL-C_NHARQ8_rvSeq[0231]_2x2_20260502_015154_run00202.txt</t>
  </si>
  <si>
    <t>02-May-2026 01:51:54</t>
  </si>
  <si>
    <t>1024QAM_SNR10.0_TDL-C_NHARQ8_rvSeq[0231]_2x2_20260502_030900_run00207.txt</t>
  </si>
  <si>
    <t>02-May-2026 03:09:00</t>
  </si>
  <si>
    <t>1024QAM_SNR12.0_TDL-C_NHARQ1_rvSeq[0231]_2x2_20260502_032637_run00063.txt</t>
  </si>
  <si>
    <t>02-May-2026 03:26:37</t>
  </si>
  <si>
    <t>1024QAM_SNR12.0_TDL-C_NHARQ4_rvSeq[0231]_2x2_20260502_005610_run00133.txt</t>
  </si>
  <si>
    <t>02-May-2026 00:56:10</t>
  </si>
  <si>
    <t>1024QAM_SNR12.0_TDL-C_NHARQ8_rvSeq[0231]_2x2_20260502_025706_run00203.txt</t>
  </si>
  <si>
    <t>02-May-2026 02:57:06</t>
  </si>
  <si>
    <t>1024QAM_SNR14.0_TDL-C_NHARQ1_rvSeq[0231]_2x2_20260502_024013_run00064.txt</t>
  </si>
  <si>
    <t>02-May-2026 02:40:13</t>
  </si>
  <si>
    <t>1024QAM_SNR14.0_TDL-C_NHARQ4_rvSeq[0231]_2x2_20260502_000722_run00134.txt</t>
  </si>
  <si>
    <t>02-May-2026 00:07:22</t>
  </si>
  <si>
    <t>1024QAM_SNR14.0_TDL-C_NHARQ8_rvSeq[0231]_2x2_20260502_020956_run00204.txt</t>
  </si>
  <si>
    <t>02-May-2026 02:09:56</t>
  </si>
  <si>
    <t>1024QAM_SNR16.0_TDL-C_NHARQ1_rvSeq[0231]_2x2_20260502_015237_run00065.txt</t>
  </si>
  <si>
    <t>02-May-2026 01:52:38</t>
  </si>
  <si>
    <t>1024QAM_SNR16.0_TDL-C_NHARQ4_rvSeq[0231]_2x2_20260501_231838_run00135.txt</t>
  </si>
  <si>
    <t>01-May-2026 23:18:38</t>
  </si>
  <si>
    <t>1024QAM_SNR16.0_TDL-C_NHARQ8_rvSeq[0231]_2x2_20260502_030520_run00205.txt</t>
  </si>
  <si>
    <t>02-May-2026 03:05:20</t>
  </si>
  <si>
    <t>1024QAM_SNR18.0_TDL-C_NHARQ1_rvSeq[0231]_2x2_20260502_010341_run00066.txt</t>
  </si>
  <si>
    <t>02-May-2026 01:03:41</t>
  </si>
  <si>
    <t>1024QAM_SNR18.0_TDL-C_NHARQ4_rvSeq[0231]_2x2_20260502_060140_run00136.txt</t>
  </si>
  <si>
    <t>02-May-2026 06:01:40</t>
  </si>
  <si>
    <t>1024QAM_SNR18.0_TDL-C_NHARQ8_rvSeq[0231]_2x2_20260502_021811_run00206.txt</t>
  </si>
  <si>
    <t>02-May-2026 02:18:11</t>
  </si>
  <si>
    <t>1024QAM_SNR2.0_TDL-C_NHARQ1_rvSeq[0231]_2x2_20260501_232837_run00058.txt</t>
  </si>
  <si>
    <t>01-May-2026 23:28:37</t>
  </si>
  <si>
    <t>1024QAM_SNR2.0_TDL-C_NHARQ4_rvSeq[0231]_2x2_20260502_070017_run00128.txt</t>
  </si>
  <si>
    <t>02-May-2026 07:00:17</t>
  </si>
  <si>
    <t>1024QAM_SNR2.0_TDL-C_NHARQ8_rvSeq[0231]_2x2_20260502_020800_run00198.txt</t>
  </si>
  <si>
    <t>02-May-2026 02:08:00</t>
  </si>
  <si>
    <t>1024QAM_SNR20.0_TDL-C_NHARQ1_rvSeq[0231]_2x2_20260501_232500_run00068.txt</t>
  </si>
  <si>
    <t>01-May-2026 23:25:00</t>
  </si>
  <si>
    <t>1024QAM_SNR20.0_TDL-C_NHARQ4_rvSeq[0231]_2x2_20260502_043703_run00138.txt</t>
  </si>
  <si>
    <t>02-May-2026 04:37:03</t>
  </si>
  <si>
    <t>1024QAM_SNR20.0_TDL-C_NHARQ8_rvSeq[0231]_2x2_20260502_022318_run00208.txt</t>
  </si>
  <si>
    <t>02-May-2026 02:23:18</t>
  </si>
  <si>
    <t>1024QAM_SNR22.0_TDL-C_NHARQ1_rvSeq[0231]_2x2_20260501_223533_run00069.txt</t>
  </si>
  <si>
    <t>01-May-2026 22:35:33</t>
  </si>
  <si>
    <t>1024QAM_SNR22.0_TDL-C_NHARQ4_rvSeq[0231]_2x2_20260502_035522_run00139.txt</t>
  </si>
  <si>
    <t>02-May-2026 03:55:22</t>
  </si>
  <si>
    <t>1024QAM_SNR22.0_TDL-C_NHARQ8_rvSeq[0231]_2x2_20260502_041215_run00209.txt</t>
  </si>
  <si>
    <t>02-May-2026 04:12:15</t>
  </si>
  <si>
    <t>1024QAM_SNR24.0_TDL-C_NHARQ1_rvSeq[0231]_2x2_20260501_214401_run00070.txt</t>
  </si>
  <si>
    <t>01-May-2026 21:44:01</t>
  </si>
  <si>
    <t>1024QAM_SNR24.0_TDL-C_NHARQ4_rvSeq[0231]_2x2_20260502_031029_run00140.txt</t>
  </si>
  <si>
    <t>02-May-2026 03:10:29</t>
  </si>
  <si>
    <t>1024QAM_SNR24.0_TDL-C_NHARQ8_rvSeq[0231]_2x2_20260502_032831_run00210.txt</t>
  </si>
  <si>
    <t>02-May-2026 03:28:31</t>
  </si>
  <si>
    <t>1024QAM_SNR4.0_TDL-C_NHARQ1_rvSeq[0231]_2x2_20260501_223748_run00059.txt</t>
  </si>
  <si>
    <t>01-May-2026 22:37:48</t>
  </si>
  <si>
    <t>1024QAM_SNR4.0_TDL-C_NHARQ4_rvSeq[0231]_2x2_20260502_061936_run00129.txt</t>
  </si>
  <si>
    <t>02-May-2026 06:19:36</t>
  </si>
  <si>
    <t>1024QAM_SNR4.0_TDL-C_NHARQ8_rvSeq[0231]_2x2_20260502_024914_run00199.txt</t>
  </si>
  <si>
    <t>02-May-2026 02:49:14</t>
  </si>
  <si>
    <t>1024QAM_SNR6.0_TDL-C_NHARQ1_rvSeq[0231]_2x2_20260501_214418_run00060.txt</t>
  </si>
  <si>
    <t>01-May-2026 21:44:18</t>
  </si>
  <si>
    <t>1024QAM_SNR6.0_TDL-C_NHARQ4_rvSeq[0231]_2x2_20260502_053642_run00130.txt</t>
  </si>
  <si>
    <t>02-May-2026 05:36:42</t>
  </si>
  <si>
    <t>1024QAM_SNR6.0_TDL-C_NHARQ8_rvSeq[0231]_2x2_20260502_020106_run00200.txt</t>
  </si>
  <si>
    <t>02-May-2026 02:01:06</t>
  </si>
  <si>
    <t>1024QAM_SNR8.0_TDL-C_NHARQ1_rvSeq[0231]_2x2_20260502_045349_run00061.txt</t>
  </si>
  <si>
    <t>02-May-2026 04:53:49</t>
  </si>
  <si>
    <t>1024QAM_SNR8.0_TDL-C_NHARQ4_rvSeq[0231]_2x2_20260502_023243_run00131.txt</t>
  </si>
  <si>
    <t>02-May-2026 02:32:43</t>
  </si>
  <si>
    <t>1024QAM_SNR8.0_TDL-C_NHARQ8_rvSeq[0231]_2x2_20260502_024048_run00201.txt</t>
  </si>
  <si>
    <t>02-May-2026 02:40:48</t>
  </si>
  <si>
    <t>16QAM_SNR0.0_TDL-C_NHARQ1_rvSeq[0231]_2x2_20260501_213634_run00015.txt</t>
  </si>
  <si>
    <t>01-May-2026 21:36:34</t>
  </si>
  <si>
    <t>16QAM</t>
  </si>
  <si>
    <t>16QAM_SNR0.0_TDL-C_NHARQ4_rvSeq[0231]_2x2_20260501_224800_run00085.txt</t>
  </si>
  <si>
    <t>01-May-2026 22:48:00</t>
  </si>
  <si>
    <t>16QAM_SNR0.0_TDL-C_NHARQ8_rvSeq[0231]_2x2_20260501_233952_run00155.txt</t>
  </si>
  <si>
    <t>01-May-2026 23:39:52</t>
  </si>
  <si>
    <t>16QAM_SNR10.0_TDL-C_NHARQ1_rvSeq[0231]_2x2_20260501_212415_run00020.txt</t>
  </si>
  <si>
    <t>01-May-2026 21:24:17</t>
  </si>
  <si>
    <t>16QAM_SNR10.0_TDL-C_NHARQ1_rvSeq[0231]_2x2_20260501_224824_run00025.txt</t>
  </si>
  <si>
    <t>01-May-2026 22:48:24</t>
  </si>
  <si>
    <t>16QAM_SNR10.0_TDL-C_NHARQ4_rvSeq[0231]_2x2_20260501_214900_run00090.txt</t>
  </si>
  <si>
    <t>01-May-2026 21:49:00</t>
  </si>
  <si>
    <t>16QAM_SNR10.0_TDL-C_NHARQ4_rvSeq[0231]_2x2_20260501_224640_run00095.txt</t>
  </si>
  <si>
    <t>01-May-2026 22:46:40</t>
  </si>
  <si>
    <t>16QAM_SNR10.0_TDL-C_NHARQ8_rvSeq[0231]_2x2_20260502_001213_run00165.txt</t>
  </si>
  <si>
    <t>02-May-2026 00:12:13</t>
  </si>
  <si>
    <t>16QAM_SNR10.0_TDL-C_NHARQ8_rvSeq[0231]_2x2_20260502_011546_run00160.txt</t>
  </si>
  <si>
    <t>02-May-2026 01:15:46</t>
  </si>
  <si>
    <t>16QAM_SNR12.0_TDL-C_NHARQ1_rvSeq[0231]_2x2_20260501_232933_run00021.txt</t>
  </si>
  <si>
    <t>01-May-2026 23:29:33</t>
  </si>
  <si>
    <t>16QAM_SNR12.0_TDL-C_NHARQ4_rvSeq[0231]_2x2_20260501_232719_run00091.txt</t>
  </si>
  <si>
    <t>01-May-2026 23:27:19</t>
  </si>
  <si>
    <t>16QAM_SNR12.0_TDL-C_NHARQ8_rvSeq[0231]_2x2_20260502_005225_run00161.txt</t>
  </si>
  <si>
    <t>02-May-2026 00:52:25</t>
  </si>
  <si>
    <t>16QAM_SNR14.0_TDL-C_NHARQ1_rvSeq[0231]_2x2_20260501_231923_run00022.txt</t>
  </si>
  <si>
    <t>01-May-2026 23:19:23</t>
  </si>
  <si>
    <t>16QAM_SNR14.0_TDL-C_NHARQ4_rvSeq[0231]_2x2_20260501_231712_run00092.txt</t>
  </si>
  <si>
    <t>01-May-2026 23:17:12</t>
  </si>
  <si>
    <t>16QAM_SNR14.0_TDL-C_NHARQ8_rvSeq[0231]_2x2_20260502_004220_run00162.txt</t>
  </si>
  <si>
    <t>02-May-2026 00:42:20</t>
  </si>
  <si>
    <t>16QAM_SNR16.0_TDL-C_NHARQ1_rvSeq[0231]_2x2_20260501_230907_run00023.txt</t>
  </si>
  <si>
    <t>01-May-2026 23:09:07</t>
  </si>
  <si>
    <t>16QAM_SNR16.0_TDL-C_NHARQ4_rvSeq[0231]_2x2_20260501_230702_run00093.txt</t>
  </si>
  <si>
    <t>01-May-2026 23:07:02</t>
  </si>
  <si>
    <t>16QAM_SNR16.0_TDL-C_NHARQ8_rvSeq[0231]_2x2_20260502_003229_run00163.txt</t>
  </si>
  <si>
    <t>02-May-2026 00:32:29</t>
  </si>
  <si>
    <t>16QAM_SNR18.0_TDL-C_NHARQ1_rvSeq[0231]_2x2_20260501_225901_run00024.txt</t>
  </si>
  <si>
    <t>01-May-2026 22:59:01</t>
  </si>
  <si>
    <t>16QAM_SNR18.0_TDL-C_NHARQ4_rvSeq[0231]_2x2_20260501_225705_run00094.txt</t>
  </si>
  <si>
    <t>01-May-2026 22:57:05</t>
  </si>
  <si>
    <t>16QAM_SNR18.0_TDL-C_NHARQ8_rvSeq[0231]_2x2_20260502_002245_run00164.txt</t>
  </si>
  <si>
    <t>02-May-2026 00:22:45</t>
  </si>
  <si>
    <t>16QAM_SNR2.0_TDL-C_NHARQ1_rvSeq[0231]_2x2_20260501_212415_run00016.txt</t>
  </si>
  <si>
    <t>16QAM_SNR2.0_TDL-C_NHARQ4_rvSeq[0231]_2x2_20260501_223645_run00086.txt</t>
  </si>
  <si>
    <t>01-May-2026 22:36:45</t>
  </si>
  <si>
    <t>16QAM_SNR2.0_TDL-C_NHARQ8_rvSeq[0231]_2x2_20260502_015732_run00156.txt</t>
  </si>
  <si>
    <t>02-May-2026 01:57:32</t>
  </si>
  <si>
    <t>16QAM_SNR20.0_TDL-C_NHARQ1_rvSeq[0231]_2x2_20260501_223826_run00026.txt</t>
  </si>
  <si>
    <t>01-May-2026 22:38:26</t>
  </si>
  <si>
    <t>16QAM_SNR20.0_TDL-C_NHARQ4_rvSeq[0231]_2x2_20260501_223647_run00096.txt</t>
  </si>
  <si>
    <t>01-May-2026 22:36:47</t>
  </si>
  <si>
    <t>16QAM_SNR20.0_TDL-C_NHARQ8_rvSeq[0231]_2x2_20260502_002024_run00166.txt</t>
  </si>
  <si>
    <t>02-May-2026 00:20:24</t>
  </si>
  <si>
    <t>16QAM_SNR22.0_TDL-C_NHARQ1_rvSeq[0231]_2x2_20260501_222802_run00027.txt</t>
  </si>
  <si>
    <t>01-May-2026 22:28:02</t>
  </si>
  <si>
    <t>16QAM_SNR22.0_TDL-C_NHARQ4_rvSeq[0231]_2x2_20260501_222612_run00097.txt</t>
  </si>
  <si>
    <t>01-May-2026 22:26:12</t>
  </si>
  <si>
    <t>16QAM_SNR22.0_TDL-C_NHARQ8_rvSeq[0231]_2x2_20260502_001053_run00167.txt</t>
  </si>
  <si>
    <t>02-May-2026 00:10:53</t>
  </si>
  <si>
    <t>16QAM_SNR24.0_TDL-C_NHARQ1_rvSeq[0231]_2x2_20260501_221722_run00028.txt</t>
  </si>
  <si>
    <t>01-May-2026 22:17:22</t>
  </si>
  <si>
    <t>16QAM_SNR24.0_TDL-C_NHARQ4_rvSeq[0231]_2x2_20260501_221531_run00098.txt</t>
  </si>
  <si>
    <t>01-May-2026 22:15:31</t>
  </si>
  <si>
    <t>16QAM_SNR24.0_TDL-C_NHARQ8_rvSeq[0231]_2x2_20260502_000134_run00168.txt</t>
  </si>
  <si>
    <t>02-May-2026 00:01:34</t>
  </si>
  <si>
    <t>16QAM_SNR4.0_TDL-C_NHARQ1_rvSeq[0231]_2x2_20260501_213626_run00017.txt</t>
  </si>
  <si>
    <t>01-May-2026 21:36:26</t>
  </si>
  <si>
    <t>16QAM_SNR4.0_TDL-C_NHARQ4_rvSeq[0231]_2x2_20260501_222447_run00087.txt</t>
  </si>
  <si>
    <t>01-May-2026 22:24:47</t>
  </si>
  <si>
    <t>16QAM_SNR4.0_TDL-C_NHARQ8_rvSeq[0231]_2x2_20260502_014701_run00157.txt</t>
  </si>
  <si>
    <t>02-May-2026 01:47:01</t>
  </si>
  <si>
    <t>16QAM_SNR6.0_TDL-C_NHARQ1_rvSeq[0231]_2x2_20260501_212415_run00018.txt</t>
  </si>
  <si>
    <t>16QAM_SNR6.0_TDL-C_NHARQ4_rvSeq[0231]_2x2_20260501_221241_run00088.txt</t>
  </si>
  <si>
    <t>01-May-2026 22:12:41</t>
  </si>
  <si>
    <t>16QAM_SNR6.0_TDL-C_NHARQ8_rvSeq[0231]_2x2_20260502_013629_run00158.txt</t>
  </si>
  <si>
    <t>02-May-2026 01:36:29</t>
  </si>
  <si>
    <t>16QAM_SNR8.0_TDL-C_NHARQ1_rvSeq[0231]_2x2_20260501_213611_run00019.txt</t>
  </si>
  <si>
    <t>01-May-2026 21:36:11</t>
  </si>
  <si>
    <t>16QAM_SNR8.0_TDL-C_NHARQ4_rvSeq[0231]_2x2_20260501_220037_run00089.txt</t>
  </si>
  <si>
    <t>01-May-2026 22:00:37</t>
  </si>
  <si>
    <t>16QAM_SNR8.0_TDL-C_NHARQ8_rvSeq[0231]_2x2_20260502_012605_run00159.txt</t>
  </si>
  <si>
    <t>02-May-2026 01:26:05</t>
  </si>
  <si>
    <t>256QAM_SNR0.0_TDL-C_NHARQ1_rvSeq[0231]_2x2_20260502_002426_run00043.txt</t>
  </si>
  <si>
    <t>02-May-2026 00:24:26</t>
  </si>
  <si>
    <t>256QAM</t>
  </si>
  <si>
    <t>256QAM_SNR0.0_TDL-C_NHARQ4_rvSeq[0231]_2x2_20260502_002855_run00113.txt</t>
  </si>
  <si>
    <t>02-May-2026 00:28:55</t>
  </si>
  <si>
    <t>256QAM_SNR0.0_TDL-C_NHARQ8_rvSeq[0231]_2x2_20260502_011220_run00183.txt</t>
  </si>
  <si>
    <t>02-May-2026 01:12:20</t>
  </si>
  <si>
    <t>256QAM_SNR10.0_TDL-C_NHARQ1_rvSeq[0231]_2x2_20260501_223213_run00048.txt</t>
  </si>
  <si>
    <t>01-May-2026 22:32:13</t>
  </si>
  <si>
    <t>256QAM_SNR10.0_TDL-C_NHARQ1_rvSeq[0231]_2x2_20260502_021012_run00053.txt</t>
  </si>
  <si>
    <t>02-May-2026 02:10:12</t>
  </si>
  <si>
    <t>256QAM_SNR10.0_TDL-C_NHARQ4_rvSeq[0231]_2x2_20260501_223617_run00118.txt</t>
  </si>
  <si>
    <t>01-May-2026 22:36:17</t>
  </si>
  <si>
    <t>256QAM_SNR10.0_TDL-C_NHARQ4_rvSeq[0231]_2x2_20260502_001939_run00123.txt</t>
  </si>
  <si>
    <t>02-May-2026 00:19:39</t>
  </si>
  <si>
    <t>256QAM_SNR10.0_TDL-C_NHARQ8_rvSeq[0231]_2x2_20260502_013441_run00188.txt</t>
  </si>
  <si>
    <t>02-May-2026 01:34:41</t>
  </si>
  <si>
    <t>256QAM_SNR10.0_TDL-C_NHARQ8_rvSeq[0231]_2x2_20260502_014817_run00193.txt</t>
  </si>
  <si>
    <t>02-May-2026 01:48:17</t>
  </si>
  <si>
    <t>256QAM_SNR12.0_TDL-C_NHARQ1_rvSeq[0231]_2x2_20260501_220819_run00049.txt</t>
  </si>
  <si>
    <t>01-May-2026 22:08:19</t>
  </si>
  <si>
    <t>256QAM_SNR12.0_TDL-C_NHARQ4_rvSeq[0231]_2x2_20260501_221215_run00119.txt</t>
  </si>
  <si>
    <t>01-May-2026 22:12:15</t>
  </si>
  <si>
    <t>256QAM_SNR12.0_TDL-C_NHARQ8_rvSeq[0231]_2x2_20260502_013929_run00189.txt</t>
  </si>
  <si>
    <t>02-May-2026 01:39:29</t>
  </si>
  <si>
    <t>256QAM_SNR14.0_TDL-C_NHARQ1_rvSeq[0231]_2x2_20260501_214446_run00050.txt</t>
  </si>
  <si>
    <t>01-May-2026 21:44:46</t>
  </si>
  <si>
    <t>256QAM_SNR14.0_TDL-C_NHARQ4_rvSeq[0231]_2x2_20260501_214819_run00120.txt</t>
  </si>
  <si>
    <t>01-May-2026 21:48:19</t>
  </si>
  <si>
    <t>256QAM_SNR14.0_TDL-C_NHARQ8_rvSeq[0231]_2x2_20260502_011745_run00190.txt</t>
  </si>
  <si>
    <t>02-May-2026 01:17:45</t>
  </si>
  <si>
    <t>256QAM_SNR16.0_TDL-C_NHARQ1_rvSeq[0231]_2x2_20260502_025042_run00051.txt</t>
  </si>
  <si>
    <t>02-May-2026 02:50:42</t>
  </si>
  <si>
    <t>256QAM_SNR16.0_TDL-C_NHARQ4_rvSeq[0231]_2x2_20260502_010314_run00121.txt</t>
  </si>
  <si>
    <t>02-May-2026 01:03:14</t>
  </si>
  <si>
    <t>256QAM_SNR16.0_TDL-C_NHARQ8_rvSeq[0231]_2x2_20260502_020246_run00191.txt</t>
  </si>
  <si>
    <t>02-May-2026 02:02:46</t>
  </si>
  <si>
    <t>256QAM_SNR18.0_TDL-C_NHARQ1_rvSeq[0231]_2x2_20260502_023105_run00052.txt</t>
  </si>
  <si>
    <t>02-May-2026 02:31:05</t>
  </si>
  <si>
    <t>256QAM_SNR18.0_TDL-C_NHARQ4_rvSeq[0231]_2x2_20260502_004152_run00122.txt</t>
  </si>
  <si>
    <t>02-May-2026 00:41:52</t>
  </si>
  <si>
    <t>256QAM_SNR18.0_TDL-C_NHARQ8_rvSeq[0231]_2x2_20260502_014155_run00192.txt</t>
  </si>
  <si>
    <t>02-May-2026 01:41:55</t>
  </si>
  <si>
    <t>256QAM_SNR2.0_TDL-C_NHARQ1_rvSeq[0231]_2x2_20260502_000209_run00044.txt</t>
  </si>
  <si>
    <t>02-May-2026 00:02:09</t>
  </si>
  <si>
    <t>256QAM_SNR2.0_TDL-C_NHARQ4_rvSeq[0231]_2x2_20260502_000627_run00114.txt</t>
  </si>
  <si>
    <t>02-May-2026 00:06:27</t>
  </si>
  <si>
    <t>256QAM_SNR2.0_TDL-C_NHARQ8_rvSeq[0231]_2x2_20260502_005003_run00184.txt</t>
  </si>
  <si>
    <t>02-May-2026 00:50:03</t>
  </si>
  <si>
    <t>256QAM_SNR20.0_TDL-C_NHARQ1_rvSeq[0231]_2x2_20260502_014948_run00054.txt</t>
  </si>
  <si>
    <t>02-May-2026 01:49:48</t>
  </si>
  <si>
    <t>256QAM_SNR20.0_TDL-C_NHARQ4_rvSeq[0231]_2x2_20260501_235822_run00124.txt</t>
  </si>
  <si>
    <t>01-May-2026 23:58:22</t>
  </si>
  <si>
    <t>256QAM_SNR20.0_TDL-C_NHARQ8_rvSeq[0231]_2x2_20260502_012721_run00194.txt</t>
  </si>
  <si>
    <t>02-May-2026 01:27:21</t>
  </si>
  <si>
    <t>256QAM_SNR22.0_TDL-C_NHARQ1_rvSeq[0231]_2x2_20260502_012914_run00055.txt</t>
  </si>
  <si>
    <t>02-May-2026 01:29:14</t>
  </si>
  <si>
    <t>256QAM_SNR22.0_TDL-C_NHARQ4_rvSeq[0231]_2x2_20260501_233737_run00125.txt</t>
  </si>
  <si>
    <t>01-May-2026 23:37:37</t>
  </si>
  <si>
    <t>256QAM_SNR22.0_TDL-C_NHARQ8_rvSeq[0231]_2x2_20260502_021505_run00195.txt</t>
  </si>
  <si>
    <t>02-May-2026 02:15:05</t>
  </si>
  <si>
    <t>256QAM_SNR24.0_TDL-C_NHARQ1_rvSeq[0231]_2x2_20260502_010850_run00056.txt</t>
  </si>
  <si>
    <t>02-May-2026 01:08:50</t>
  </si>
  <si>
    <t>256QAM_SNR24.0_TDL-C_NHARQ4_rvSeq[0231]_2x2_20260502_081542_run00126.txt</t>
  </si>
  <si>
    <t>02-May-2026 08:15:42</t>
  </si>
  <si>
    <t>256QAM_SNR24.0_TDL-C_NHARQ8_rvSeq[0231]_2x2_20260502_015515_run00196.txt</t>
  </si>
  <si>
    <t>02-May-2026 01:55:15</t>
  </si>
  <si>
    <t>256QAM_SNR4.0_TDL-C_NHARQ1_rvSeq[0231]_2x2_20260501_233952_run00045.txt</t>
  </si>
  <si>
    <t>256QAM_SNR4.0_TDL-C_NHARQ4_rvSeq[0231]_2x2_20260501_234406_run00115.txt</t>
  </si>
  <si>
    <t>01-May-2026 23:44:06</t>
  </si>
  <si>
    <t>256QAM_SNR4.0_TDL-C_NHARQ8_rvSeq[0231]_2x2_20260502_011949_run00185.txt</t>
  </si>
  <si>
    <t>02-May-2026 01:19:49</t>
  </si>
  <si>
    <t>256QAM_SNR6.0_TDL-C_NHARQ1_rvSeq[0231]_2x2_20260501_231736_run00046.txt</t>
  </si>
  <si>
    <t>01-May-2026 23:17:36</t>
  </si>
  <si>
    <t>256QAM_SNR6.0_TDL-C_NHARQ4_rvSeq[0231]_2x2_20260501_232147_run00116.txt</t>
  </si>
  <si>
    <t>01-May-2026 23:21:47</t>
  </si>
  <si>
    <t>256QAM_SNR6.0_TDL-C_NHARQ8_rvSeq[0231]_2x2_20260502_005747_run00186.txt</t>
  </si>
  <si>
    <t>02-May-2026 00:57:47</t>
  </si>
  <si>
    <t>256QAM_SNR8.0_TDL-C_NHARQ1_rvSeq[0231]_2x2_20260501_225458_run00047.txt</t>
  </si>
  <si>
    <t>01-May-2026 22:54:58</t>
  </si>
  <si>
    <t>256QAM_SNR8.0_TDL-C_NHARQ4_rvSeq[0231]_2x2_20260501_225858_run00117.txt</t>
  </si>
  <si>
    <t>01-May-2026 22:58:58</t>
  </si>
  <si>
    <t>256QAM_SNR8.0_TDL-C_NHARQ8_rvSeq[0231]_2x2_20260502_015637_run00187.txt</t>
  </si>
  <si>
    <t>02-May-2026 01:56:37</t>
  </si>
  <si>
    <t>64QAM_SNR0.0_TDL-C_NHARQ1_rvSeq[0231]_2x2_20260501_220111_run00029.txt</t>
  </si>
  <si>
    <t>01-May-2026 22:01:11</t>
  </si>
  <si>
    <t>64QAM</t>
  </si>
  <si>
    <t>64QAM_SNR0.0_TDL-C_NHARQ4_rvSeq[0231]_2x2_20260501_215919_run00099.txt</t>
  </si>
  <si>
    <t>01-May-2026 21:59:19</t>
  </si>
  <si>
    <t>64QAM_SNR0.0_TDL-C_NHARQ8_rvSeq[0231]_2x2_20260501_234720_run00169.txt</t>
  </si>
  <si>
    <t>01-May-2026 23:47:20</t>
  </si>
  <si>
    <t>64QAM_SNR10.0_TDL-C_NHARQ1_rvSeq[0231]_2x2_20260501_215925_run00039.txt</t>
  </si>
  <si>
    <t>01-May-2026 21:59:25</t>
  </si>
  <si>
    <t>64QAM_SNR10.0_TDL-C_NHARQ1_rvSeq[0231]_2x2_20260501_231212_run00034.txt</t>
  </si>
  <si>
    <t>01-May-2026 23:12:12</t>
  </si>
  <si>
    <t>64QAM_SNR10.0_TDL-C_NHARQ4_rvSeq[0231]_2x2_20260501_220308_run00109.txt</t>
  </si>
  <si>
    <t>01-May-2026 22:03:08</t>
  </si>
  <si>
    <t>64QAM_SNR10.0_TDL-C_NHARQ4_rvSeq[0231]_2x2_20260501_231539_run00104.txt</t>
  </si>
  <si>
    <t>01-May-2026 23:15:40</t>
  </si>
  <si>
    <t>64QAM_SNR10.0_TDL-C_NHARQ8_rvSeq[0231]_2x2_20260502_003001_run00174.txt</t>
  </si>
  <si>
    <t>02-May-2026 00:30:01</t>
  </si>
  <si>
    <t>64QAM_SNR10.0_TDL-C_NHARQ8_rvSeq[0231]_2x2_20260502_010356_run00179.txt</t>
  </si>
  <si>
    <t>02-May-2026 01:03:56</t>
  </si>
  <si>
    <t>64QAM_SNR12.0_TDL-C_NHARQ1_rvSeq[0231]_2x2_20260501_225800_run00035.txt</t>
  </si>
  <si>
    <t>01-May-2026 22:58:00</t>
  </si>
  <si>
    <t>64QAM_SNR12.0_TDL-C_NHARQ4_rvSeq[0231]_2x2_20260501_230124_run00105.txt</t>
  </si>
  <si>
    <t>01-May-2026 23:01:24</t>
  </si>
  <si>
    <t>64QAM_SNR12.0_TDL-C_NHARQ8_rvSeq[0231]_2x2_20260502_013816_run00175.txt</t>
  </si>
  <si>
    <t>02-May-2026 01:38:16</t>
  </si>
  <si>
    <t>64QAM_SNR14.0_TDL-C_NHARQ1_rvSeq[0231]_2x2_20260501_224413_run00036.txt</t>
  </si>
  <si>
    <t>01-May-2026 22:44:13</t>
  </si>
  <si>
    <t>64QAM_SNR14.0_TDL-C_NHARQ4_rvSeq[0231]_2x2_20260501_224735_run00106.txt</t>
  </si>
  <si>
    <t>01-May-2026 22:47:35</t>
  </si>
  <si>
    <t>64QAM_SNR14.0_TDL-C_NHARQ8_rvSeq[0231]_2x2_20260502_012449_run00176.txt</t>
  </si>
  <si>
    <t>02-May-2026 01:24:49</t>
  </si>
  <si>
    <t>64QAM_SNR16.0_TDL-C_NHARQ1_rvSeq[0231]_2x2_20260501_222959_run00037.txt</t>
  </si>
  <si>
    <t>01-May-2026 22:29:59</t>
  </si>
  <si>
    <t>64QAM_SNR16.0_TDL-C_NHARQ4_rvSeq[0231]_2x2_20260501_223340_run00107.txt</t>
  </si>
  <si>
    <t>01-May-2026 22:33:40</t>
  </si>
  <si>
    <t>64QAM_SNR16.0_TDL-C_NHARQ8_rvSeq[0231]_2x2_20260502_003653_run00177.txt</t>
  </si>
  <si>
    <t>02-May-2026 00:36:53</t>
  </si>
  <si>
    <t>64QAM_SNR18.0_TDL-C_NHARQ1_rvSeq[0231]_2x2_20260501_221517_run00038.txt</t>
  </si>
  <si>
    <t>01-May-2026 22:15:17</t>
  </si>
  <si>
    <t>64QAM_SNR18.0_TDL-C_NHARQ4_rvSeq[0231]_2x2_20260501_221900_run00108.txt</t>
  </si>
  <si>
    <t>01-May-2026 22:19:00</t>
  </si>
  <si>
    <t>64QAM_SNR18.0_TDL-C_NHARQ8_rvSeq[0231]_2x2_20260502_002353_run00178.txt</t>
  </si>
  <si>
    <t>02-May-2026 00:23:53</t>
  </si>
  <si>
    <t>64QAM_SNR2.0_TDL-C_NHARQ1_rvSeq[0231]_2x2_20260501_214523_run00030.txt</t>
  </si>
  <si>
    <t>01-May-2026 21:45:23</t>
  </si>
  <si>
    <t>64QAM_SNR2.0_TDL-C_NHARQ4_rvSeq[0231]_2x2_20260501_214340_run00100.txt</t>
  </si>
  <si>
    <t>01-May-2026 21:43:40</t>
  </si>
  <si>
    <t>64QAM_SNR2.0_TDL-C_NHARQ8_rvSeq[0231]_2x2_20260501_233307_run00170.txt</t>
  </si>
  <si>
    <t>01-May-2026 23:33:07</t>
  </si>
  <si>
    <t>64QAM_SNR20.0_TDL-C_NHARQ1_rvSeq[0231]_2x2_20260501_214510_run00040.txt</t>
  </si>
  <si>
    <t>01-May-2026 21:45:10</t>
  </si>
  <si>
    <t>64QAM_SNR20.0_TDL-C_NHARQ4_rvSeq[0231]_2x2_20260501_214849_run00110.txt</t>
  </si>
  <si>
    <t>01-May-2026 21:48:49</t>
  </si>
  <si>
    <t>64QAM_SNR20.0_TDL-C_NHARQ8_rvSeq[0231]_2x2_20260502_005113_run00180.txt</t>
  </si>
  <si>
    <t>02-May-2026 00:51:13</t>
  </si>
  <si>
    <t>64QAM_SNR22.0_TDL-C_NHARQ1_rvSeq[0231]_2x2_20260502_005848_run00041.txt</t>
  </si>
  <si>
    <t>02-May-2026 00:58:48</t>
  </si>
  <si>
    <t>64QAM_SNR22.0_TDL-C_NHARQ4_rvSeq[0231]_2x2_20260502_010322_run00111.txt</t>
  </si>
  <si>
    <t>02-May-2026 01:03:22</t>
  </si>
  <si>
    <t>64QAM_SNR22.0_TDL-C_NHARQ8_rvSeq[0231]_2x2_20260502_011450_run00181.txt</t>
  </si>
  <si>
    <t>02-May-2026 01:14:50</t>
  </si>
  <si>
    <t>64QAM_SNR24.0_TDL-C_NHARQ1_rvSeq[0231]_2x2_20260502_004633_run00042.txt</t>
  </si>
  <si>
    <t>02-May-2026 00:46:33</t>
  </si>
  <si>
    <t>64QAM_SNR24.0_TDL-C_NHARQ4_rvSeq[0231]_2x2_20260502_005111_run00112.txt</t>
  </si>
  <si>
    <t>02-May-2026 00:51:11</t>
  </si>
  <si>
    <t>64QAM_SNR24.0_TDL-C_NHARQ8_rvSeq[0231]_2x2_20260502_010238_run00182.txt</t>
  </si>
  <si>
    <t>02-May-2026 01:02:38</t>
  </si>
  <si>
    <t>64QAM_SNR4.0_TDL-C_NHARQ1_rvSeq[0231]_2x2_20260501_235441_run00031.txt</t>
  </si>
  <si>
    <t>01-May-2026 23:54:41</t>
  </si>
  <si>
    <t>64QAM_SNR4.0_TDL-C_NHARQ4_rvSeq[0231]_2x2_20260501_235758_run00101.txt</t>
  </si>
  <si>
    <t>01-May-2026 23:57:58</t>
  </si>
  <si>
    <t>64QAM_SNR4.0_TDL-C_NHARQ8_rvSeq[0231]_2x2_20260502_033139_run00171.txt</t>
  </si>
  <si>
    <t>02-May-2026 03:31:39</t>
  </si>
  <si>
    <t>64QAM_SNR6.0_TDL-C_NHARQ1_rvSeq[0231]_2x2_20260501_234030_run00032.txt</t>
  </si>
  <si>
    <t>01-May-2026 23:40:30</t>
  </si>
  <si>
    <t>64QAM_SNR6.0_TDL-C_NHARQ4_rvSeq[0231]_2x2_20260501_234344_run00102.txt</t>
  </si>
  <si>
    <t>01-May-2026 23:43:44</t>
  </si>
  <si>
    <t>64QAM_SNR6.0_TDL-C_NHARQ8_rvSeq[0231]_2x2_20260502_031851_run00172.txt</t>
  </si>
  <si>
    <t>02-May-2026 03:18:51</t>
  </si>
  <si>
    <t>64QAM_SNR8.0_TDL-C_NHARQ1_rvSeq[0231]_2x2_20260501_232622_run00033.txt</t>
  </si>
  <si>
    <t>01-May-2026 23:26:22</t>
  </si>
  <si>
    <t>64QAM_SNR8.0_TDL-C_NHARQ4_rvSeq[0231]_2x2_20260501_232941_run00103.txt</t>
  </si>
  <si>
    <t>01-May-2026 23:29:41</t>
  </si>
  <si>
    <t>64QAM_SNR8.0_TDL-C_NHARQ8_rvSeq[0231]_2x2_20260502_004348_run00173.txt</t>
  </si>
  <si>
    <t>02-May-2026 00:43:48</t>
  </si>
  <si>
    <t>QPSK_SNR0.0_TDL-C_NHARQ1_rvSeq[0231]_2x2_20260501_213444_run00001.txt</t>
  </si>
  <si>
    <t>01-May-2026 21:34:44</t>
  </si>
  <si>
    <t>QPSK</t>
  </si>
  <si>
    <t>QPSK_SNR0.0_TDL-C_NHARQ4_rvSeq[0231]_2x2_20260501_230917_run00071.txt</t>
  </si>
  <si>
    <t>01-May-2026 23:09:17</t>
  </si>
  <si>
    <t>QPSK_SNR0.0_TDL-C_NHARQ8_rvSeq[0231]_2x2_20260502_014620_run00141.txt</t>
  </si>
  <si>
    <t>02-May-2026 01:46:20</t>
  </si>
  <si>
    <t>QPSK_SNR10.0_TDL-C_NHARQ1_rvSeq[0231]_2x2_20260501_212415_run00006.txt</t>
  </si>
  <si>
    <t>QPSK_SNR10.0_TDL-C_NHARQ1_rvSeq[0231]_2x2_20260501_213359_run00011.txt</t>
  </si>
  <si>
    <t>01-May-2026 21:33:59</t>
  </si>
  <si>
    <t>QPSK_SNR10.0_TDL-C_NHARQ4_rvSeq[0231]_2x2_20260501_222243_run00076.txt</t>
  </si>
  <si>
    <t>01-May-2026 22:22:43</t>
  </si>
  <si>
    <t>QPSK_SNR10.0_TDL-C_NHARQ4_rvSeq[0231]_2x2_20260501_232427_run00081.txt</t>
  </si>
  <si>
    <t>01-May-2026 23:24:27</t>
  </si>
  <si>
    <t>QPSK_SNR10.0_TDL-C_NHARQ8_rvSeq[0231]_2x2_20260502_001512_run00151.txt</t>
  </si>
  <si>
    <t>02-May-2026 00:15:12</t>
  </si>
  <si>
    <t>QPSK_SNR10.0_TDL-C_NHARQ8_rvSeq[0231]_2x2_20260502_004238_run00146.txt</t>
  </si>
  <si>
    <t>02-May-2026 00:42:38</t>
  </si>
  <si>
    <t>QPSK_SNR12.0_TDL-C_NHARQ1_rvSeq[0231]_2x2_20260501_213408_run00007.txt</t>
  </si>
  <si>
    <t>01-May-2026 21:34:08</t>
  </si>
  <si>
    <t>QPSK_SNR12.0_TDL-C_NHARQ4_rvSeq[0231]_2x2_20260501_221256_run00077.txt</t>
  </si>
  <si>
    <t>01-May-2026 22:12:56</t>
  </si>
  <si>
    <t>QPSK_SNR12.0_TDL-C_NHARQ8_rvSeq[0231]_2x2_20260502_003410_run00147.txt</t>
  </si>
  <si>
    <t>02-May-2026 00:34:10</t>
  </si>
  <si>
    <t>QPSK_SNR14.0_TDL-C_NHARQ1_rvSeq[0231]_2x2_20260501_212415_run00008.txt</t>
  </si>
  <si>
    <t>QPSK_SNR14.0_TDL-C_NHARQ4_rvSeq[0231]_2x2_20260501_220304_run00078.txt</t>
  </si>
  <si>
    <t>01-May-2026 22:03:04</t>
  </si>
  <si>
    <t>QPSK_SNR14.0_TDL-C_NHARQ8_rvSeq[0231]_2x2_20260502_002545_run00148.txt</t>
  </si>
  <si>
    <t>02-May-2026 00:25:45</t>
  </si>
  <si>
    <t>QPSK_SNR16.0_TDL-C_NHARQ1_rvSeq[0231]_2x2_20260501_213401_run00009.txt</t>
  </si>
  <si>
    <t>01-May-2026 21:34:01</t>
  </si>
  <si>
    <t>QPSK_SNR16.0_TDL-C_NHARQ4_rvSeq[0231]_2x2_20260501_215333_run00079.txt</t>
  </si>
  <si>
    <t>01-May-2026 21:53:33</t>
  </si>
  <si>
    <t>QPSK_SNR16.0_TDL-C_NHARQ8_rvSeq[0231]_2x2_20260502_001718_run00149.txt</t>
  </si>
  <si>
    <t>02-May-2026 00:17:18</t>
  </si>
  <si>
    <t>QPSK_SNR18.0_TDL-C_NHARQ1_rvSeq[0231]_2x2_20260501_212415_run00010.txt</t>
  </si>
  <si>
    <t>QPSK_SNR18.0_TDL-C_NHARQ4_rvSeq[0231]_2x2_20260501_214415_run00080.txt</t>
  </si>
  <si>
    <t>01-May-2026 21:44:15</t>
  </si>
  <si>
    <t>QPSK_SNR18.0_TDL-C_NHARQ8_rvSeq[0231]_2x2_20260502_000855_run00150.txt</t>
  </si>
  <si>
    <t>02-May-2026 00:08:55</t>
  </si>
  <si>
    <t>QPSK_SNR2.0_TDL-C_NHARQ1_rvSeq[0231]_2x2_20260501_212415_run00002.txt</t>
  </si>
  <si>
    <t>QPSK_SNR2.0_TDL-C_NHARQ4_rvSeq[0231]_2x2_20260501_225958_run00072.txt</t>
  </si>
  <si>
    <t>01-May-2026 22:59:58</t>
  </si>
  <si>
    <t>QPSK_SNR2.0_TDL-C_NHARQ8_rvSeq[0231]_2x2_20260502_013725_run00142.txt</t>
  </si>
  <si>
    <t>02-May-2026 01:37:25</t>
  </si>
  <si>
    <t>QPSK_SNR20.0_TDL-C_NHARQ1_rvSeq[0231]_2x2_20260501_212415_run00012.txt</t>
  </si>
  <si>
    <t>QPSK_SNR20.0_TDL-C_NHARQ4_rvSeq[0231]_2x2_20260501_231606_run00082.txt</t>
  </si>
  <si>
    <t>01-May-2026 23:16:06</t>
  </si>
  <si>
    <t>QPSK_SNR20.0_TDL-C_NHARQ8_rvSeq[0231]_2x2_20260502_000656_run00152.txt</t>
  </si>
  <si>
    <t>02-May-2026 00:06:56</t>
  </si>
  <si>
    <t>QPSK_SNR22.0_TDL-C_NHARQ1_rvSeq[0231]_2x2_20260501_213353_run00013.txt</t>
  </si>
  <si>
    <t>01-May-2026 21:33:53</t>
  </si>
  <si>
    <t>QPSK_SNR22.0_TDL-C_NHARQ4_rvSeq[0231]_2x2_20260501_230734_run00083.txt</t>
  </si>
  <si>
    <t>01-May-2026 23:07:34</t>
  </si>
  <si>
    <t>QPSK_SNR22.0_TDL-C_NHARQ8_rvSeq[0231]_2x2_20260501_235846_run00153.txt</t>
  </si>
  <si>
    <t>01-May-2026 23:58:46</t>
  </si>
  <si>
    <t>QPSK_SNR24.0_TDL-C_NHARQ1_rvSeq[0231]_2x2_20260501_212415_run00014.txt</t>
  </si>
  <si>
    <t>QPSK_SNR24.0_TDL-C_NHARQ4_rvSeq[0231]_2x2_20260501_225905_run00084.txt</t>
  </si>
  <si>
    <t>01-May-2026 22:59:05</t>
  </si>
  <si>
    <t>QPSK_SNR24.0_TDL-C_NHARQ8_rvSeq[0231]_2x2_20260501_235037_run00154.txt</t>
  </si>
  <si>
    <t>01-May-2026 23:50:37</t>
  </si>
  <si>
    <t>QPSK_SNR4.0_TDL-C_NHARQ1_rvSeq[0231]_2x2_20260501_213437_run00003.txt</t>
  </si>
  <si>
    <t>01-May-2026 21:34:37</t>
  </si>
  <si>
    <t>QPSK_SNR4.0_TDL-C_NHARQ4_rvSeq[0231]_2x2_20260501_225054_run00073.txt</t>
  </si>
  <si>
    <t>01-May-2026 22:50:54</t>
  </si>
  <si>
    <t>QPSK_SNR4.0_TDL-C_NHARQ8_rvSeq[0231]_2x2_20260502_012835_run00143.txt</t>
  </si>
  <si>
    <t>02-May-2026 01:28:35</t>
  </si>
  <si>
    <t>QPSK_SNR6.0_TDL-C_NHARQ1_rvSeq[0231]_2x2_20260501_212415_run00004.txt</t>
  </si>
  <si>
    <t>QPSK_SNR6.0_TDL-C_NHARQ4_rvSeq[0231]_2x2_20260501_224151_run00074.txt</t>
  </si>
  <si>
    <t>01-May-2026 22:41:51</t>
  </si>
  <si>
    <t>QPSK_SNR6.0_TDL-C_NHARQ8_rvSeq[0231]_2x2_20260502_011949_run00144.txt</t>
  </si>
  <si>
    <t>QPSK_SNR8.0_TDL-C_NHARQ1_rvSeq[0231]_2x2_20260501_213422_run00005.txt</t>
  </si>
  <si>
    <t>01-May-2026 21:34:22</t>
  </si>
  <si>
    <t>QPSK_SNR8.0_TDL-C_NHARQ4_rvSeq[0231]_2x2_20260501_223232_run00075.txt</t>
  </si>
  <si>
    <t>01-May-2026 22:32:32</t>
  </si>
  <si>
    <t>QPSK_SNR8.0_TDL-C_NHARQ8_rvSeq[0231]_2x2_20260502_011109_run00145.txt</t>
  </si>
  <si>
    <t>02-May-2026 01:11:09</t>
  </si>
  <si>
    <t>Retransmission Risk</t>
  </si>
  <si>
    <t>Latency Risk</t>
  </si>
  <si>
    <t>Final BLER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</si>
</sst>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11"/>
  <sheetViews>
    <sheetView tabSelected="1" topLeftCell="Q1" workbookViewId="0">
      <selection activeCell="Z1" sqref="Z1"/>
    </sheetView>
  </sheetViews>
  <sheetFormatPr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474</v>
      </c>
      <c r="F1" t="s">
        <v>475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476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</row>
    <row r="2" spans="1:60" x14ac:dyDescent="0.25">
      <c r="A2" t="s">
        <v>57</v>
      </c>
      <c r="B2" t="s">
        <v>58</v>
      </c>
      <c r="C2">
        <v>0</v>
      </c>
      <c r="D2" t="s">
        <v>59</v>
      </c>
      <c r="E2" cm="1">
        <f t="array" ref="E2">_xlfn.SWITCH(D2,"QPSK",0.1,"16QAM",0.25,"64QAM",0.5,"256QAM",0.8,"1024QAM",1,"")</f>
        <v>1</v>
      </c>
      <c r="F2" cm="1">
        <f t="array" ref="F2">_xlfn.SWITCH(D2,"QPSK",0.05,"16QAM",0.15,"64QAM",0.4,"256QAM",0.75,"1024QAM",1,"")</f>
        <v>1</v>
      </c>
      <c r="G2" t="s">
        <v>60</v>
      </c>
      <c r="H2">
        <v>1</v>
      </c>
      <c r="I2" t="s">
        <v>61</v>
      </c>
      <c r="J2">
        <v>2</v>
      </c>
      <c r="K2">
        <v>2</v>
      </c>
      <c r="L2" t="s">
        <v>62</v>
      </c>
      <c r="M2">
        <v>2</v>
      </c>
      <c r="N2">
        <v>0.47849999999999998</v>
      </c>
      <c r="O2">
        <v>0.47620000000000001</v>
      </c>
      <c r="P2">
        <v>5000</v>
      </c>
      <c r="Q2">
        <v>1250</v>
      </c>
      <c r="R2">
        <v>3750</v>
      </c>
      <c r="S2">
        <v>4</v>
      </c>
      <c r="T2">
        <v>3</v>
      </c>
      <c r="W2">
        <v>0</v>
      </c>
      <c r="X2">
        <v>0</v>
      </c>
      <c r="Y2">
        <v>100</v>
      </c>
      <c r="Z2">
        <v>100</v>
      </c>
      <c r="AB2">
        <v>297160000</v>
      </c>
      <c r="AC2">
        <v>0</v>
      </c>
      <c r="AD2">
        <v>297160000</v>
      </c>
      <c r="AE2">
        <v>0</v>
      </c>
      <c r="AG2">
        <v>0</v>
      </c>
      <c r="AH2">
        <v>0</v>
      </c>
      <c r="AI2">
        <v>1</v>
      </c>
      <c r="AJ2">
        <v>4</v>
      </c>
      <c r="AK2">
        <v>0</v>
      </c>
      <c r="AL2">
        <v>0</v>
      </c>
      <c r="AM2">
        <v>0</v>
      </c>
      <c r="AN2">
        <v>0</v>
      </c>
      <c r="AO2">
        <v>30</v>
      </c>
      <c r="AP2">
        <v>21.87</v>
      </c>
      <c r="AQ2">
        <v>0.72</v>
      </c>
      <c r="AR2">
        <v>-5.73</v>
      </c>
      <c r="AS2">
        <v>1.85</v>
      </c>
      <c r="AT2">
        <v>10.38</v>
      </c>
      <c r="AU2">
        <v>6666.69</v>
      </c>
      <c r="AV2">
        <v>35.81</v>
      </c>
      <c r="AW2">
        <v>24</v>
      </c>
      <c r="AX2">
        <v>22.52</v>
      </c>
      <c r="AY2">
        <v>14.399742</v>
      </c>
      <c r="AZ2">
        <v>138.05556000000001</v>
      </c>
      <c r="BA2">
        <v>-16.926544</v>
      </c>
      <c r="BB2">
        <v>2.65273</v>
      </c>
      <c r="BC2">
        <v>16.926544</v>
      </c>
      <c r="BD2">
        <v>22.61525</v>
      </c>
      <c r="BE2">
        <v>234.97102000000001</v>
      </c>
      <c r="BF2">
        <v>-13.029686</v>
      </c>
      <c r="BG2">
        <v>7.1681900000000001</v>
      </c>
      <c r="BH2">
        <v>13.029686</v>
      </c>
    </row>
    <row r="3" spans="1:60" x14ac:dyDescent="0.25">
      <c r="A3" t="s">
        <v>63</v>
      </c>
      <c r="B3" t="s">
        <v>64</v>
      </c>
      <c r="C3">
        <v>0</v>
      </c>
      <c r="D3" t="s">
        <v>59</v>
      </c>
      <c r="E3" cm="1">
        <f t="array" ref="E3">_xlfn.SWITCH(D3,"QPSK",0.1,"16QAM",0.25,"64QAM",0.5,"256QAM",0.8,"1024QAM",1,"")</f>
        <v>1</v>
      </c>
      <c r="F3" cm="1">
        <f t="array" ref="F3">_xlfn.SWITCH(D3,"QPSK",0.05,"16QAM",0.15,"64QAM",0.4,"256QAM",0.75,"1024QAM",1,"")</f>
        <v>1</v>
      </c>
      <c r="G3" t="s">
        <v>60</v>
      </c>
      <c r="H3">
        <v>4</v>
      </c>
      <c r="I3" t="s">
        <v>61</v>
      </c>
      <c r="J3">
        <v>2</v>
      </c>
      <c r="K3">
        <v>2</v>
      </c>
      <c r="L3" t="s">
        <v>62</v>
      </c>
      <c r="M3">
        <v>2</v>
      </c>
      <c r="N3">
        <v>0.47849999999999998</v>
      </c>
      <c r="O3">
        <v>0.47620000000000001</v>
      </c>
      <c r="P3">
        <v>5000</v>
      </c>
      <c r="Q3">
        <v>1252</v>
      </c>
      <c r="R3">
        <v>3748</v>
      </c>
      <c r="S3">
        <v>3.99</v>
      </c>
      <c r="T3">
        <v>2.99</v>
      </c>
      <c r="W3">
        <v>0</v>
      </c>
      <c r="X3">
        <v>0</v>
      </c>
      <c r="Y3">
        <v>100</v>
      </c>
      <c r="Z3">
        <v>100</v>
      </c>
      <c r="AB3">
        <v>297160000</v>
      </c>
      <c r="AC3">
        <v>0</v>
      </c>
      <c r="AD3">
        <v>297160000</v>
      </c>
      <c r="AE3">
        <v>0</v>
      </c>
      <c r="AG3">
        <v>0</v>
      </c>
      <c r="AH3">
        <v>0</v>
      </c>
      <c r="AI3">
        <v>1</v>
      </c>
      <c r="AJ3">
        <v>3.9936099999999999</v>
      </c>
      <c r="AK3">
        <v>0</v>
      </c>
      <c r="AL3">
        <v>0</v>
      </c>
      <c r="AM3">
        <v>0</v>
      </c>
      <c r="AN3">
        <v>0</v>
      </c>
      <c r="AO3">
        <v>30</v>
      </c>
      <c r="AP3">
        <v>21.87</v>
      </c>
      <c r="AQ3">
        <v>0.72</v>
      </c>
      <c r="AR3">
        <v>-5.73</v>
      </c>
      <c r="AS3">
        <v>1.85</v>
      </c>
      <c r="AT3">
        <v>10.38</v>
      </c>
      <c r="AU3">
        <v>6666.69</v>
      </c>
      <c r="AV3">
        <v>35.81</v>
      </c>
      <c r="AW3">
        <v>24.02</v>
      </c>
      <c r="AX3">
        <v>22.52</v>
      </c>
      <c r="AY3">
        <v>14.378254</v>
      </c>
      <c r="AZ3">
        <v>137.93533199999999</v>
      </c>
      <c r="BA3">
        <v>-16.941210000000002</v>
      </c>
      <c r="BB3">
        <v>2.6486200000000002</v>
      </c>
      <c r="BC3">
        <v>16.941210000000002</v>
      </c>
      <c r="BD3">
        <v>22.629176000000001</v>
      </c>
      <c r="BE3">
        <v>235.545546</v>
      </c>
      <c r="BF3">
        <v>-13.024851999999999</v>
      </c>
      <c r="BG3">
        <v>7.1876939999999996</v>
      </c>
      <c r="BH3">
        <v>13.024851999999999</v>
      </c>
    </row>
    <row r="4" spans="1:60" x14ac:dyDescent="0.25">
      <c r="A4" t="s">
        <v>65</v>
      </c>
      <c r="B4" t="s">
        <v>66</v>
      </c>
      <c r="C4">
        <v>0</v>
      </c>
      <c r="D4" t="s">
        <v>59</v>
      </c>
      <c r="E4" cm="1">
        <f t="array" ref="E4">_xlfn.SWITCH(D4,"QPSK",0.1,"16QAM",0.25,"64QAM",0.5,"256QAM",0.8,"1024QAM",1,"")</f>
        <v>1</v>
      </c>
      <c r="F4" cm="1">
        <f t="array" ref="F4">_xlfn.SWITCH(D4,"QPSK",0.05,"16QAM",0.15,"64QAM",0.4,"256QAM",0.75,"1024QAM",1,"")</f>
        <v>1</v>
      </c>
      <c r="G4" t="s">
        <v>60</v>
      </c>
      <c r="H4">
        <v>8</v>
      </c>
      <c r="I4" t="s">
        <v>61</v>
      </c>
      <c r="J4">
        <v>2</v>
      </c>
      <c r="K4">
        <v>2</v>
      </c>
      <c r="L4" t="s">
        <v>62</v>
      </c>
      <c r="M4">
        <v>2</v>
      </c>
      <c r="N4">
        <v>0.47849999999999998</v>
      </c>
      <c r="O4">
        <v>0.47620000000000001</v>
      </c>
      <c r="P4">
        <v>5000</v>
      </c>
      <c r="Q4">
        <v>1256</v>
      </c>
      <c r="R4">
        <v>3744</v>
      </c>
      <c r="S4">
        <v>3.98</v>
      </c>
      <c r="T4">
        <v>2.98</v>
      </c>
      <c r="W4">
        <v>0</v>
      </c>
      <c r="X4">
        <v>0</v>
      </c>
      <c r="Y4">
        <v>100</v>
      </c>
      <c r="Z4">
        <v>100</v>
      </c>
      <c r="AB4">
        <v>297160000</v>
      </c>
      <c r="AC4">
        <v>0</v>
      </c>
      <c r="AD4">
        <v>297160000</v>
      </c>
      <c r="AE4">
        <v>0</v>
      </c>
      <c r="AG4">
        <v>0</v>
      </c>
      <c r="AH4">
        <v>0</v>
      </c>
      <c r="AI4">
        <v>1</v>
      </c>
      <c r="AJ4">
        <v>3.9808919999999999</v>
      </c>
      <c r="AK4">
        <v>0</v>
      </c>
      <c r="AL4">
        <v>0</v>
      </c>
      <c r="AM4">
        <v>0</v>
      </c>
      <c r="AN4">
        <v>0</v>
      </c>
      <c r="AO4">
        <v>30</v>
      </c>
      <c r="AP4">
        <v>21.87</v>
      </c>
      <c r="AQ4">
        <v>0.72</v>
      </c>
      <c r="AR4">
        <v>-5.73</v>
      </c>
      <c r="AS4">
        <v>1.85</v>
      </c>
      <c r="AT4">
        <v>10.64</v>
      </c>
      <c r="AU4">
        <v>6666.69</v>
      </c>
      <c r="AV4">
        <v>35.81</v>
      </c>
      <c r="AW4">
        <v>24.01</v>
      </c>
      <c r="AX4">
        <v>22.52</v>
      </c>
      <c r="AY4">
        <v>14.391349999999999</v>
      </c>
      <c r="AZ4">
        <v>137.436924</v>
      </c>
      <c r="BA4">
        <v>-16.932577999999999</v>
      </c>
      <c r="BB4">
        <v>2.614706</v>
      </c>
      <c r="BC4">
        <v>16.932577999999999</v>
      </c>
      <c r="BD4">
        <v>22.621770000000001</v>
      </c>
      <c r="BE4">
        <v>235.368382</v>
      </c>
      <c r="BF4">
        <v>-13.026605999999999</v>
      </c>
      <c r="BG4">
        <v>7.1864039999999996</v>
      </c>
      <c r="BH4">
        <v>13.026605999999999</v>
      </c>
    </row>
    <row r="5" spans="1:60" x14ac:dyDescent="0.25">
      <c r="A5" t="s">
        <v>67</v>
      </c>
      <c r="B5" t="s">
        <v>68</v>
      </c>
      <c r="C5">
        <v>10</v>
      </c>
      <c r="D5" t="s">
        <v>59</v>
      </c>
      <c r="E5" cm="1">
        <f t="array" ref="E5">_xlfn.SWITCH(D5,"QPSK",0.1,"16QAM",0.25,"64QAM",0.5,"256QAM",0.8,"1024QAM",1,"")</f>
        <v>1</v>
      </c>
      <c r="F5" cm="1">
        <f t="array" ref="F5">_xlfn.SWITCH(D5,"QPSK",0.05,"16QAM",0.15,"64QAM",0.4,"256QAM",0.75,"1024QAM",1,"")</f>
        <v>1</v>
      </c>
      <c r="G5" t="s">
        <v>60</v>
      </c>
      <c r="H5">
        <v>1</v>
      </c>
      <c r="I5" t="s">
        <v>61</v>
      </c>
      <c r="J5">
        <v>2</v>
      </c>
      <c r="K5">
        <v>2</v>
      </c>
      <c r="L5" t="s">
        <v>62</v>
      </c>
      <c r="M5">
        <v>2</v>
      </c>
      <c r="N5">
        <v>0.47849999999999998</v>
      </c>
      <c r="O5">
        <v>0.47620000000000001</v>
      </c>
      <c r="P5">
        <v>5000</v>
      </c>
      <c r="Q5">
        <v>1269</v>
      </c>
      <c r="R5">
        <v>3731</v>
      </c>
      <c r="S5">
        <v>3.94</v>
      </c>
      <c r="T5">
        <v>2.94</v>
      </c>
      <c r="W5">
        <v>619</v>
      </c>
      <c r="X5">
        <v>0</v>
      </c>
      <c r="Y5">
        <v>87.62</v>
      </c>
      <c r="Z5">
        <v>51.22</v>
      </c>
      <c r="AB5">
        <v>297160000</v>
      </c>
      <c r="AC5">
        <v>36788408</v>
      </c>
      <c r="AD5">
        <v>297160000</v>
      </c>
      <c r="AE5">
        <v>36788408</v>
      </c>
      <c r="AG5">
        <v>48.78</v>
      </c>
      <c r="AH5">
        <v>12.38</v>
      </c>
      <c r="AI5">
        <v>1</v>
      </c>
      <c r="AJ5">
        <v>3.9401099999999998</v>
      </c>
      <c r="AK5">
        <v>5.8999999999999997E-2</v>
      </c>
      <c r="AL5">
        <v>7.36</v>
      </c>
      <c r="AM5">
        <v>7358</v>
      </c>
      <c r="AN5">
        <v>0.78610000000000002</v>
      </c>
      <c r="AO5">
        <v>30</v>
      </c>
      <c r="AP5">
        <v>21.87</v>
      </c>
      <c r="AQ5">
        <v>0.72</v>
      </c>
      <c r="AR5">
        <v>-5.93</v>
      </c>
      <c r="AS5">
        <v>1.98</v>
      </c>
      <c r="AT5">
        <v>22.68</v>
      </c>
      <c r="AU5">
        <v>6666.69</v>
      </c>
      <c r="AV5">
        <v>35.81</v>
      </c>
      <c r="AW5">
        <v>24.57</v>
      </c>
      <c r="AX5">
        <v>22.59</v>
      </c>
      <c r="AY5">
        <v>7.113194</v>
      </c>
      <c r="AZ5">
        <v>78.245695999999995</v>
      </c>
      <c r="BA5">
        <v>-23.147151999999998</v>
      </c>
      <c r="BB5">
        <v>-2.6470760000000002</v>
      </c>
      <c r="BC5">
        <v>23.147151999999998</v>
      </c>
      <c r="BD5">
        <v>15.473865999999999</v>
      </c>
      <c r="BE5">
        <v>156.601304</v>
      </c>
      <c r="BF5">
        <v>-16.467466000000002</v>
      </c>
      <c r="BG5">
        <v>3.6266159999999998</v>
      </c>
      <c r="BH5">
        <v>16.467466000000002</v>
      </c>
    </row>
    <row r="6" spans="1:60" x14ac:dyDescent="0.25">
      <c r="A6" t="s">
        <v>69</v>
      </c>
      <c r="B6" t="s">
        <v>70</v>
      </c>
      <c r="C6">
        <v>10</v>
      </c>
      <c r="D6" t="s">
        <v>59</v>
      </c>
      <c r="E6" cm="1">
        <f t="array" ref="E6">_xlfn.SWITCH(D6,"QPSK",0.1,"16QAM",0.25,"64QAM",0.5,"256QAM",0.8,"1024QAM",1,"")</f>
        <v>1</v>
      </c>
      <c r="F6" cm="1">
        <f t="array" ref="F6">_xlfn.SWITCH(D6,"QPSK",0.05,"16QAM",0.15,"64QAM",0.4,"256QAM",0.75,"1024QAM",1,"")</f>
        <v>1</v>
      </c>
      <c r="G6" t="s">
        <v>60</v>
      </c>
      <c r="H6">
        <v>1</v>
      </c>
      <c r="I6" t="s">
        <v>61</v>
      </c>
      <c r="J6">
        <v>2</v>
      </c>
      <c r="K6">
        <v>2</v>
      </c>
      <c r="L6" t="s">
        <v>62</v>
      </c>
      <c r="M6">
        <v>2</v>
      </c>
      <c r="N6">
        <v>0.47849999999999998</v>
      </c>
      <c r="O6">
        <v>0.47620000000000001</v>
      </c>
      <c r="P6">
        <v>5000</v>
      </c>
      <c r="Q6">
        <v>1268</v>
      </c>
      <c r="R6">
        <v>3732</v>
      </c>
      <c r="S6">
        <v>3.94</v>
      </c>
      <c r="T6">
        <v>2.94</v>
      </c>
      <c r="W6">
        <v>621</v>
      </c>
      <c r="X6">
        <v>0</v>
      </c>
      <c r="Y6">
        <v>87.58</v>
      </c>
      <c r="Z6">
        <v>51.03</v>
      </c>
      <c r="AB6">
        <v>297160000</v>
      </c>
      <c r="AC6">
        <v>36907272</v>
      </c>
      <c r="AD6">
        <v>297160000</v>
      </c>
      <c r="AE6">
        <v>36907272</v>
      </c>
      <c r="AG6">
        <v>48.97</v>
      </c>
      <c r="AH6">
        <v>12.42</v>
      </c>
      <c r="AI6">
        <v>1</v>
      </c>
      <c r="AJ6">
        <v>3.9432179999999999</v>
      </c>
      <c r="AK6">
        <v>5.91E-2</v>
      </c>
      <c r="AL6">
        <v>7.38</v>
      </c>
      <c r="AM6">
        <v>7381</v>
      </c>
      <c r="AN6">
        <v>0.78859999999999997</v>
      </c>
      <c r="AO6">
        <v>30</v>
      </c>
      <c r="AP6">
        <v>21.87</v>
      </c>
      <c r="AQ6">
        <v>0.72</v>
      </c>
      <c r="AR6">
        <v>-5.93</v>
      </c>
      <c r="AS6">
        <v>1.98</v>
      </c>
      <c r="AT6">
        <v>22.61</v>
      </c>
      <c r="AU6">
        <v>6666.69</v>
      </c>
      <c r="AV6">
        <v>35.81</v>
      </c>
      <c r="AW6">
        <v>24.57</v>
      </c>
      <c r="AX6">
        <v>22.59</v>
      </c>
      <c r="AY6">
        <v>7.1102160000000003</v>
      </c>
      <c r="AZ6">
        <v>78.266052000000002</v>
      </c>
      <c r="BA6">
        <v>-23.148441999999999</v>
      </c>
      <c r="BB6">
        <v>-2.6542919999999999</v>
      </c>
      <c r="BC6">
        <v>23.148441999999999</v>
      </c>
      <c r="BD6">
        <v>15.478251999999999</v>
      </c>
      <c r="BE6">
        <v>156.11967799999999</v>
      </c>
      <c r="BF6">
        <v>-16.465882000000001</v>
      </c>
      <c r="BG6">
        <v>3.6047020000000001</v>
      </c>
      <c r="BH6">
        <v>16.465882000000001</v>
      </c>
    </row>
    <row r="7" spans="1:60" x14ac:dyDescent="0.25">
      <c r="A7" t="s">
        <v>71</v>
      </c>
      <c r="B7" t="s">
        <v>72</v>
      </c>
      <c r="C7">
        <v>10</v>
      </c>
      <c r="D7" t="s">
        <v>59</v>
      </c>
      <c r="E7" cm="1">
        <f t="array" ref="E7">_xlfn.SWITCH(D7,"QPSK",0.1,"16QAM",0.25,"64QAM",0.5,"256QAM",0.8,"1024QAM",1,"")</f>
        <v>1</v>
      </c>
      <c r="F7" cm="1">
        <f t="array" ref="F7">_xlfn.SWITCH(D7,"QPSK",0.05,"16QAM",0.15,"64QAM",0.4,"256QAM",0.75,"1024QAM",1,"")</f>
        <v>1</v>
      </c>
      <c r="G7" t="s">
        <v>60</v>
      </c>
      <c r="H7">
        <v>4</v>
      </c>
      <c r="I7" t="s">
        <v>61</v>
      </c>
      <c r="J7">
        <v>2</v>
      </c>
      <c r="K7">
        <v>2</v>
      </c>
      <c r="L7" t="s">
        <v>62</v>
      </c>
      <c r="M7">
        <v>2</v>
      </c>
      <c r="N7">
        <v>0.47849999999999998</v>
      </c>
      <c r="O7">
        <v>0.47620000000000001</v>
      </c>
      <c r="P7">
        <v>5000</v>
      </c>
      <c r="Q7">
        <v>1266</v>
      </c>
      <c r="R7">
        <v>3734</v>
      </c>
      <c r="S7">
        <v>3.95</v>
      </c>
      <c r="T7">
        <v>2.95</v>
      </c>
      <c r="W7">
        <v>611</v>
      </c>
      <c r="X7">
        <v>0</v>
      </c>
      <c r="Y7">
        <v>87.78</v>
      </c>
      <c r="Z7">
        <v>51.74</v>
      </c>
      <c r="AB7">
        <v>297160000</v>
      </c>
      <c r="AC7">
        <v>36312952</v>
      </c>
      <c r="AD7">
        <v>297160000</v>
      </c>
      <c r="AE7">
        <v>36312952</v>
      </c>
      <c r="AG7">
        <v>48.26</v>
      </c>
      <c r="AH7">
        <v>12.22</v>
      </c>
      <c r="AI7">
        <v>1</v>
      </c>
      <c r="AJ7">
        <v>3.9494470000000002</v>
      </c>
      <c r="AK7">
        <v>5.8200000000000002E-2</v>
      </c>
      <c r="AL7">
        <v>7.26</v>
      </c>
      <c r="AM7">
        <v>7263</v>
      </c>
      <c r="AN7">
        <v>0.77590000000000003</v>
      </c>
      <c r="AO7">
        <v>30</v>
      </c>
      <c r="AP7">
        <v>21.87</v>
      </c>
      <c r="AQ7">
        <v>0.72</v>
      </c>
      <c r="AR7">
        <v>-5.93</v>
      </c>
      <c r="AS7">
        <v>1.98</v>
      </c>
      <c r="AT7">
        <v>22.63</v>
      </c>
      <c r="AU7">
        <v>6666.69</v>
      </c>
      <c r="AV7">
        <v>35.81</v>
      </c>
      <c r="AW7">
        <v>24.57</v>
      </c>
      <c r="AX7">
        <v>22.58</v>
      </c>
      <c r="AY7">
        <v>7.1152439999999997</v>
      </c>
      <c r="AZ7">
        <v>78.281182000000001</v>
      </c>
      <c r="BA7">
        <v>-23.143363999999998</v>
      </c>
      <c r="BB7">
        <v>-2.6456659999999999</v>
      </c>
      <c r="BC7">
        <v>23.143363999999998</v>
      </c>
      <c r="BD7">
        <v>15.476686000000001</v>
      </c>
      <c r="BE7">
        <v>157.08347599999999</v>
      </c>
      <c r="BF7">
        <v>-16.464932000000001</v>
      </c>
      <c r="BG7">
        <v>3.6506639999999999</v>
      </c>
      <c r="BH7">
        <v>16.464932000000001</v>
      </c>
    </row>
    <row r="8" spans="1:60" x14ac:dyDescent="0.25">
      <c r="A8" t="s">
        <v>73</v>
      </c>
      <c r="B8" t="s">
        <v>74</v>
      </c>
      <c r="C8">
        <v>10</v>
      </c>
      <c r="D8" t="s">
        <v>59</v>
      </c>
      <c r="E8" cm="1">
        <f t="array" ref="E8">_xlfn.SWITCH(D8,"QPSK",0.1,"16QAM",0.25,"64QAM",0.5,"256QAM",0.8,"1024QAM",1,"")</f>
        <v>1</v>
      </c>
      <c r="F8" cm="1">
        <f t="array" ref="F8">_xlfn.SWITCH(D8,"QPSK",0.05,"16QAM",0.15,"64QAM",0.4,"256QAM",0.75,"1024QAM",1,"")</f>
        <v>1</v>
      </c>
      <c r="G8" t="s">
        <v>60</v>
      </c>
      <c r="H8">
        <v>4</v>
      </c>
      <c r="I8" t="s">
        <v>61</v>
      </c>
      <c r="J8">
        <v>2</v>
      </c>
      <c r="K8">
        <v>2</v>
      </c>
      <c r="L8" t="s">
        <v>62</v>
      </c>
      <c r="M8">
        <v>2</v>
      </c>
      <c r="N8">
        <v>0.47849999999999998</v>
      </c>
      <c r="O8">
        <v>0.47620000000000001</v>
      </c>
      <c r="P8">
        <v>5000</v>
      </c>
      <c r="Q8">
        <v>1267</v>
      </c>
      <c r="R8">
        <v>3733</v>
      </c>
      <c r="S8">
        <v>3.95</v>
      </c>
      <c r="T8">
        <v>2.95</v>
      </c>
      <c r="W8">
        <v>615</v>
      </c>
      <c r="X8">
        <v>0</v>
      </c>
      <c r="Y8">
        <v>87.7</v>
      </c>
      <c r="Z8">
        <v>51.46</v>
      </c>
      <c r="AB8">
        <v>297160000</v>
      </c>
      <c r="AC8">
        <v>36550680</v>
      </c>
      <c r="AD8">
        <v>297160000</v>
      </c>
      <c r="AE8">
        <v>36550680</v>
      </c>
      <c r="AG8">
        <v>48.54</v>
      </c>
      <c r="AH8">
        <v>12.3</v>
      </c>
      <c r="AI8">
        <v>1</v>
      </c>
      <c r="AJ8">
        <v>3.9463300000000001</v>
      </c>
      <c r="AK8">
        <v>5.8599999999999999E-2</v>
      </c>
      <c r="AL8">
        <v>7.31</v>
      </c>
      <c r="AM8">
        <v>7310</v>
      </c>
      <c r="AN8">
        <v>0.78100000000000003</v>
      </c>
      <c r="AO8">
        <v>30</v>
      </c>
      <c r="AP8">
        <v>21.87</v>
      </c>
      <c r="AQ8">
        <v>0.72</v>
      </c>
      <c r="AR8">
        <v>-5.93</v>
      </c>
      <c r="AS8">
        <v>1.98</v>
      </c>
      <c r="AT8">
        <v>23.11</v>
      </c>
      <c r="AU8">
        <v>6666.69</v>
      </c>
      <c r="AV8">
        <v>35.81</v>
      </c>
      <c r="AW8">
        <v>24.58</v>
      </c>
      <c r="AX8">
        <v>22.59</v>
      </c>
      <c r="AY8">
        <v>7.1077339999999998</v>
      </c>
      <c r="AZ8">
        <v>78.135186000000004</v>
      </c>
      <c r="BA8">
        <v>-23.152985999999999</v>
      </c>
      <c r="BB8">
        <v>-2.668536</v>
      </c>
      <c r="BC8">
        <v>23.152985999999999</v>
      </c>
      <c r="BD8">
        <v>15.468482</v>
      </c>
      <c r="BE8">
        <v>155.914616</v>
      </c>
      <c r="BF8">
        <v>-16.471606000000001</v>
      </c>
      <c r="BG8">
        <v>3.5891099999999998</v>
      </c>
      <c r="BH8">
        <v>16.471606000000001</v>
      </c>
    </row>
    <row r="9" spans="1:60" x14ac:dyDescent="0.25">
      <c r="A9" t="s">
        <v>75</v>
      </c>
      <c r="B9" t="s">
        <v>76</v>
      </c>
      <c r="C9">
        <v>10</v>
      </c>
      <c r="D9" t="s">
        <v>59</v>
      </c>
      <c r="E9" cm="1">
        <f t="array" ref="E9">_xlfn.SWITCH(D9,"QPSK",0.1,"16QAM",0.25,"64QAM",0.5,"256QAM",0.8,"1024QAM",1,"")</f>
        <v>1</v>
      </c>
      <c r="F9" cm="1">
        <f t="array" ref="F9">_xlfn.SWITCH(D9,"QPSK",0.05,"16QAM",0.15,"64QAM",0.4,"256QAM",0.75,"1024QAM",1,"")</f>
        <v>1</v>
      </c>
      <c r="G9" t="s">
        <v>60</v>
      </c>
      <c r="H9">
        <v>8</v>
      </c>
      <c r="I9" t="s">
        <v>61</v>
      </c>
      <c r="J9">
        <v>2</v>
      </c>
      <c r="K9">
        <v>2</v>
      </c>
      <c r="L9" t="s">
        <v>62</v>
      </c>
      <c r="M9">
        <v>2</v>
      </c>
      <c r="N9">
        <v>0.47849999999999998</v>
      </c>
      <c r="O9">
        <v>0.47620000000000001</v>
      </c>
      <c r="P9">
        <v>5000</v>
      </c>
      <c r="Q9">
        <v>1264</v>
      </c>
      <c r="R9">
        <v>3736</v>
      </c>
      <c r="S9">
        <v>3.96</v>
      </c>
      <c r="T9">
        <v>2.96</v>
      </c>
      <c r="W9">
        <v>576</v>
      </c>
      <c r="X9">
        <v>0</v>
      </c>
      <c r="Y9">
        <v>88.48</v>
      </c>
      <c r="Z9">
        <v>54.43</v>
      </c>
      <c r="AB9">
        <v>297160000</v>
      </c>
      <c r="AC9">
        <v>34232832</v>
      </c>
      <c r="AD9">
        <v>297160000</v>
      </c>
      <c r="AE9">
        <v>34232832</v>
      </c>
      <c r="AG9">
        <v>45.57</v>
      </c>
      <c r="AH9">
        <v>11.52</v>
      </c>
      <c r="AI9">
        <v>1</v>
      </c>
      <c r="AJ9">
        <v>3.9556960000000001</v>
      </c>
      <c r="AK9">
        <v>5.4899999999999997E-2</v>
      </c>
      <c r="AL9">
        <v>6.85</v>
      </c>
      <c r="AM9">
        <v>6847</v>
      </c>
      <c r="AN9">
        <v>0.73150000000000004</v>
      </c>
      <c r="AO9">
        <v>30</v>
      </c>
      <c r="AP9">
        <v>21.87</v>
      </c>
      <c r="AQ9">
        <v>0.72</v>
      </c>
      <c r="AR9">
        <v>-5.93</v>
      </c>
      <c r="AS9">
        <v>1.98</v>
      </c>
      <c r="AT9">
        <v>22.63</v>
      </c>
      <c r="AU9">
        <v>6666.69</v>
      </c>
      <c r="AV9">
        <v>35.81</v>
      </c>
      <c r="AW9">
        <v>24.57</v>
      </c>
      <c r="AX9">
        <v>22.6</v>
      </c>
      <c r="AY9">
        <v>7.1067520000000002</v>
      </c>
      <c r="AZ9">
        <v>78.076898</v>
      </c>
      <c r="BA9">
        <v>-23.15401</v>
      </c>
      <c r="BB9">
        <v>-2.663932</v>
      </c>
      <c r="BC9">
        <v>23.15401</v>
      </c>
      <c r="BD9">
        <v>15.455261999999999</v>
      </c>
      <c r="BE9">
        <v>156.12381400000001</v>
      </c>
      <c r="BF9">
        <v>-16.476512</v>
      </c>
      <c r="BG9">
        <v>3.60304</v>
      </c>
      <c r="BH9">
        <v>16.476512</v>
      </c>
    </row>
    <row r="10" spans="1:60" x14ac:dyDescent="0.25">
      <c r="A10" t="s">
        <v>77</v>
      </c>
      <c r="B10" t="s">
        <v>78</v>
      </c>
      <c r="C10">
        <v>10</v>
      </c>
      <c r="D10" t="s">
        <v>59</v>
      </c>
      <c r="E10" cm="1">
        <f t="array" ref="E10">_xlfn.SWITCH(D10,"QPSK",0.1,"16QAM",0.25,"64QAM",0.5,"256QAM",0.8,"1024QAM",1,"")</f>
        <v>1</v>
      </c>
      <c r="F10" cm="1">
        <f t="array" ref="F10">_xlfn.SWITCH(D10,"QPSK",0.05,"16QAM",0.15,"64QAM",0.4,"256QAM",0.75,"1024QAM",1,"")</f>
        <v>1</v>
      </c>
      <c r="G10" t="s">
        <v>60</v>
      </c>
      <c r="H10">
        <v>8</v>
      </c>
      <c r="I10" t="s">
        <v>61</v>
      </c>
      <c r="J10">
        <v>2</v>
      </c>
      <c r="K10">
        <v>2</v>
      </c>
      <c r="L10" t="s">
        <v>62</v>
      </c>
      <c r="M10">
        <v>2</v>
      </c>
      <c r="N10">
        <v>0.47849999999999998</v>
      </c>
      <c r="O10">
        <v>0.47620000000000001</v>
      </c>
      <c r="P10">
        <v>5000</v>
      </c>
      <c r="Q10">
        <v>1264</v>
      </c>
      <c r="R10">
        <v>3736</v>
      </c>
      <c r="S10">
        <v>3.96</v>
      </c>
      <c r="T10">
        <v>2.96</v>
      </c>
      <c r="W10">
        <v>579</v>
      </c>
      <c r="X10">
        <v>0</v>
      </c>
      <c r="Y10">
        <v>88.42</v>
      </c>
      <c r="Z10">
        <v>54.19</v>
      </c>
      <c r="AB10">
        <v>297160000</v>
      </c>
      <c r="AC10">
        <v>34411128</v>
      </c>
      <c r="AD10">
        <v>297160000</v>
      </c>
      <c r="AE10">
        <v>34411128</v>
      </c>
      <c r="AG10">
        <v>45.81</v>
      </c>
      <c r="AH10">
        <v>11.58</v>
      </c>
      <c r="AI10">
        <v>1</v>
      </c>
      <c r="AJ10">
        <v>3.9556960000000001</v>
      </c>
      <c r="AK10">
        <v>5.5100000000000003E-2</v>
      </c>
      <c r="AL10">
        <v>6.88</v>
      </c>
      <c r="AM10">
        <v>6882</v>
      </c>
      <c r="AN10">
        <v>0.73529999999999995</v>
      </c>
      <c r="AO10">
        <v>30</v>
      </c>
      <c r="AP10">
        <v>21.87</v>
      </c>
      <c r="AQ10">
        <v>0.72</v>
      </c>
      <c r="AR10">
        <v>-5.93</v>
      </c>
      <c r="AS10">
        <v>1.98</v>
      </c>
      <c r="AT10">
        <v>22.53</v>
      </c>
      <c r="AU10">
        <v>6666.69</v>
      </c>
      <c r="AV10">
        <v>35.81</v>
      </c>
      <c r="AW10">
        <v>24.57</v>
      </c>
      <c r="AX10">
        <v>22.58</v>
      </c>
      <c r="AY10">
        <v>7.1094460000000002</v>
      </c>
      <c r="AZ10">
        <v>78.149066000000005</v>
      </c>
      <c r="BA10">
        <v>-23.151033999999999</v>
      </c>
      <c r="BB10">
        <v>-2.6563780000000001</v>
      </c>
      <c r="BC10">
        <v>23.151033999999999</v>
      </c>
      <c r="BD10">
        <v>15.467091999999999</v>
      </c>
      <c r="BE10">
        <v>156.520296</v>
      </c>
      <c r="BF10">
        <v>-16.468506000000001</v>
      </c>
      <c r="BG10">
        <v>3.623672</v>
      </c>
      <c r="BH10">
        <v>16.468506000000001</v>
      </c>
    </row>
    <row r="11" spans="1:60" x14ac:dyDescent="0.25">
      <c r="A11" t="s">
        <v>79</v>
      </c>
      <c r="B11" t="s">
        <v>80</v>
      </c>
      <c r="C11">
        <v>12</v>
      </c>
      <c r="D11" t="s">
        <v>59</v>
      </c>
      <c r="E11" cm="1">
        <f t="array" ref="E11">_xlfn.SWITCH(D11,"QPSK",0.1,"16QAM",0.25,"64QAM",0.5,"256QAM",0.8,"1024QAM",1,"")</f>
        <v>1</v>
      </c>
      <c r="F11" cm="1">
        <f t="array" ref="F11">_xlfn.SWITCH(D11,"QPSK",0.05,"16QAM",0.15,"64QAM",0.4,"256QAM",0.75,"1024QAM",1,"")</f>
        <v>1</v>
      </c>
      <c r="G11" t="s">
        <v>60</v>
      </c>
      <c r="H11">
        <v>1</v>
      </c>
      <c r="I11" t="s">
        <v>61</v>
      </c>
      <c r="J11">
        <v>2</v>
      </c>
      <c r="K11">
        <v>2</v>
      </c>
      <c r="L11" t="s">
        <v>62</v>
      </c>
      <c r="M11">
        <v>2</v>
      </c>
      <c r="N11">
        <v>0.47849999999999998</v>
      </c>
      <c r="O11">
        <v>0.47620000000000001</v>
      </c>
      <c r="P11">
        <v>5000</v>
      </c>
      <c r="Q11">
        <v>1310</v>
      </c>
      <c r="R11">
        <v>3690</v>
      </c>
      <c r="S11">
        <v>3.82</v>
      </c>
      <c r="T11">
        <v>2.82</v>
      </c>
      <c r="W11">
        <v>899</v>
      </c>
      <c r="X11">
        <v>0</v>
      </c>
      <c r="Y11">
        <v>82.02</v>
      </c>
      <c r="Z11">
        <v>31.37</v>
      </c>
      <c r="AB11">
        <v>297160000</v>
      </c>
      <c r="AC11">
        <v>53429368</v>
      </c>
      <c r="AD11">
        <v>297160000</v>
      </c>
      <c r="AE11">
        <v>53429368</v>
      </c>
      <c r="AG11">
        <v>68.63</v>
      </c>
      <c r="AH11">
        <v>17.98</v>
      </c>
      <c r="AI11">
        <v>1</v>
      </c>
      <c r="AJ11">
        <v>3.8167939999999998</v>
      </c>
      <c r="AK11">
        <v>8.5599999999999996E-2</v>
      </c>
      <c r="AL11">
        <v>10.69</v>
      </c>
      <c r="AM11">
        <v>10686</v>
      </c>
      <c r="AN11">
        <v>1.1416999999999999</v>
      </c>
      <c r="AO11">
        <v>30</v>
      </c>
      <c r="AP11">
        <v>21.87</v>
      </c>
      <c r="AQ11">
        <v>0.72</v>
      </c>
      <c r="AR11">
        <v>-5.93</v>
      </c>
      <c r="AS11">
        <v>1.98</v>
      </c>
      <c r="AT11">
        <v>22.26</v>
      </c>
      <c r="AU11">
        <v>6666.69</v>
      </c>
      <c r="AV11">
        <v>35.81</v>
      </c>
      <c r="AW11">
        <v>24.84</v>
      </c>
      <c r="AX11">
        <v>21.83</v>
      </c>
      <c r="AY11">
        <v>6.4916939999999999</v>
      </c>
      <c r="AZ11">
        <v>78.167512000000002</v>
      </c>
      <c r="BA11">
        <v>-23.942436000000001</v>
      </c>
      <c r="BB11">
        <v>-2.8057219999999998</v>
      </c>
      <c r="BC11">
        <v>23.942436000000001</v>
      </c>
      <c r="BD11">
        <v>14.324771999999999</v>
      </c>
      <c r="BE11">
        <v>155.54585399999999</v>
      </c>
      <c r="BF11">
        <v>-17.10887</v>
      </c>
      <c r="BG11">
        <v>3.6123419999999999</v>
      </c>
      <c r="BH11">
        <v>17.10887</v>
      </c>
    </row>
    <row r="12" spans="1:60" x14ac:dyDescent="0.25">
      <c r="A12" t="s">
        <v>81</v>
      </c>
      <c r="B12" t="s">
        <v>82</v>
      </c>
      <c r="C12">
        <v>12</v>
      </c>
      <c r="D12" t="s">
        <v>59</v>
      </c>
      <c r="E12" cm="1">
        <f t="array" ref="E12">_xlfn.SWITCH(D12,"QPSK",0.1,"16QAM",0.25,"64QAM",0.5,"256QAM",0.8,"1024QAM",1,"")</f>
        <v>1</v>
      </c>
      <c r="F12" cm="1">
        <f t="array" ref="F12">_xlfn.SWITCH(D12,"QPSK",0.05,"16QAM",0.15,"64QAM",0.4,"256QAM",0.75,"1024QAM",1,"")</f>
        <v>1</v>
      </c>
      <c r="G12" t="s">
        <v>60</v>
      </c>
      <c r="H12">
        <v>4</v>
      </c>
      <c r="I12" t="s">
        <v>61</v>
      </c>
      <c r="J12">
        <v>2</v>
      </c>
      <c r="K12">
        <v>2</v>
      </c>
      <c r="L12" t="s">
        <v>62</v>
      </c>
      <c r="M12">
        <v>2</v>
      </c>
      <c r="N12">
        <v>0.47849999999999998</v>
      </c>
      <c r="O12">
        <v>0.47620000000000001</v>
      </c>
      <c r="P12">
        <v>5000</v>
      </c>
      <c r="Q12">
        <v>1298</v>
      </c>
      <c r="R12">
        <v>3702</v>
      </c>
      <c r="S12">
        <v>3.85</v>
      </c>
      <c r="T12">
        <v>2.85</v>
      </c>
      <c r="W12">
        <v>906</v>
      </c>
      <c r="X12">
        <v>0</v>
      </c>
      <c r="Y12">
        <v>81.88</v>
      </c>
      <c r="Z12">
        <v>30.2</v>
      </c>
      <c r="AB12">
        <v>297160000</v>
      </c>
      <c r="AC12">
        <v>53845392</v>
      </c>
      <c r="AD12">
        <v>297160000</v>
      </c>
      <c r="AE12">
        <v>53845392</v>
      </c>
      <c r="AG12">
        <v>69.8</v>
      </c>
      <c r="AH12">
        <v>18.12</v>
      </c>
      <c r="AI12">
        <v>1</v>
      </c>
      <c r="AJ12">
        <v>3.8520799999999999</v>
      </c>
      <c r="AK12">
        <v>8.6300000000000002E-2</v>
      </c>
      <c r="AL12">
        <v>10.77</v>
      </c>
      <c r="AM12">
        <v>10769</v>
      </c>
      <c r="AN12">
        <v>1.1505000000000001</v>
      </c>
      <c r="AO12">
        <v>30</v>
      </c>
      <c r="AP12">
        <v>21.87</v>
      </c>
      <c r="AQ12">
        <v>0.72</v>
      </c>
      <c r="AR12">
        <v>-5.93</v>
      </c>
      <c r="AS12">
        <v>1.97</v>
      </c>
      <c r="AT12">
        <v>22.09</v>
      </c>
      <c r="AU12">
        <v>6666.69</v>
      </c>
      <c r="AV12">
        <v>35.81</v>
      </c>
      <c r="AW12">
        <v>24.83</v>
      </c>
      <c r="AX12">
        <v>21.83</v>
      </c>
      <c r="AY12">
        <v>6.4943039999999996</v>
      </c>
      <c r="AZ12">
        <v>77.784176000000002</v>
      </c>
      <c r="BA12">
        <v>-23.940054</v>
      </c>
      <c r="BB12">
        <v>-2.834152</v>
      </c>
      <c r="BC12">
        <v>23.940054</v>
      </c>
      <c r="BD12">
        <v>14.324021999999999</v>
      </c>
      <c r="BE12">
        <v>155.42964799999999</v>
      </c>
      <c r="BF12">
        <v>-17.109704000000001</v>
      </c>
      <c r="BG12">
        <v>3.605696</v>
      </c>
      <c r="BH12">
        <v>17.109704000000001</v>
      </c>
    </row>
    <row r="13" spans="1:60" x14ac:dyDescent="0.25">
      <c r="A13" t="s">
        <v>83</v>
      </c>
      <c r="B13" t="s">
        <v>84</v>
      </c>
      <c r="C13">
        <v>12</v>
      </c>
      <c r="D13" t="s">
        <v>59</v>
      </c>
      <c r="E13" cm="1">
        <f t="array" ref="E13">_xlfn.SWITCH(D13,"QPSK",0.1,"16QAM",0.25,"64QAM",0.5,"256QAM",0.8,"1024QAM",1,"")</f>
        <v>1</v>
      </c>
      <c r="F13" cm="1">
        <f t="array" ref="F13">_xlfn.SWITCH(D13,"QPSK",0.05,"16QAM",0.15,"64QAM",0.4,"256QAM",0.75,"1024QAM",1,"")</f>
        <v>1</v>
      </c>
      <c r="G13" t="s">
        <v>60</v>
      </c>
      <c r="H13">
        <v>8</v>
      </c>
      <c r="I13" t="s">
        <v>61</v>
      </c>
      <c r="J13">
        <v>2</v>
      </c>
      <c r="K13">
        <v>2</v>
      </c>
      <c r="L13" t="s">
        <v>62</v>
      </c>
      <c r="M13">
        <v>2</v>
      </c>
      <c r="N13">
        <v>0.47849999999999998</v>
      </c>
      <c r="O13">
        <v>0.47620000000000001</v>
      </c>
      <c r="P13">
        <v>5000</v>
      </c>
      <c r="Q13">
        <v>1294</v>
      </c>
      <c r="R13">
        <v>3706</v>
      </c>
      <c r="S13">
        <v>3.86</v>
      </c>
      <c r="T13">
        <v>2.86</v>
      </c>
      <c r="W13">
        <v>909</v>
      </c>
      <c r="X13">
        <v>0</v>
      </c>
      <c r="Y13">
        <v>81.819999999999993</v>
      </c>
      <c r="Z13">
        <v>29.75</v>
      </c>
      <c r="AB13">
        <v>297160000</v>
      </c>
      <c r="AC13">
        <v>54023688</v>
      </c>
      <c r="AD13">
        <v>297160000</v>
      </c>
      <c r="AE13">
        <v>54023688</v>
      </c>
      <c r="AG13">
        <v>70.25</v>
      </c>
      <c r="AH13">
        <v>18.18</v>
      </c>
      <c r="AI13">
        <v>1</v>
      </c>
      <c r="AJ13">
        <v>3.863988</v>
      </c>
      <c r="AK13">
        <v>8.6599999999999996E-2</v>
      </c>
      <c r="AL13">
        <v>10.8</v>
      </c>
      <c r="AM13">
        <v>10805</v>
      </c>
      <c r="AN13">
        <v>1.1544000000000001</v>
      </c>
      <c r="AO13">
        <v>30</v>
      </c>
      <c r="AP13">
        <v>21.87</v>
      </c>
      <c r="AQ13">
        <v>0.72</v>
      </c>
      <c r="AR13">
        <v>-5.93</v>
      </c>
      <c r="AS13">
        <v>1.97</v>
      </c>
      <c r="AT13">
        <v>22.34</v>
      </c>
      <c r="AU13">
        <v>6666.69</v>
      </c>
      <c r="AV13">
        <v>35.81</v>
      </c>
      <c r="AW13">
        <v>24.84</v>
      </c>
      <c r="AX13">
        <v>21.84</v>
      </c>
      <c r="AY13">
        <v>6.49472</v>
      </c>
      <c r="AZ13">
        <v>77.852891999999997</v>
      </c>
      <c r="BA13">
        <v>-23.941255999999999</v>
      </c>
      <c r="BB13">
        <v>-2.8410160000000002</v>
      </c>
      <c r="BC13">
        <v>23.941255999999999</v>
      </c>
      <c r="BD13">
        <v>14.318674</v>
      </c>
      <c r="BE13">
        <v>155.32525200000001</v>
      </c>
      <c r="BF13">
        <v>-17.113076</v>
      </c>
      <c r="BG13">
        <v>3.6053820000000001</v>
      </c>
      <c r="BH13">
        <v>17.113076</v>
      </c>
    </row>
    <row r="14" spans="1:60" x14ac:dyDescent="0.25">
      <c r="A14" t="s">
        <v>85</v>
      </c>
      <c r="B14" t="s">
        <v>86</v>
      </c>
      <c r="C14">
        <v>14</v>
      </c>
      <c r="D14" t="s">
        <v>59</v>
      </c>
      <c r="E14" cm="1">
        <f t="array" ref="E14">_xlfn.SWITCH(D14,"QPSK",0.1,"16QAM",0.25,"64QAM",0.5,"256QAM",0.8,"1024QAM",1,"")</f>
        <v>1</v>
      </c>
      <c r="F14" cm="1">
        <f t="array" ref="F14">_xlfn.SWITCH(D14,"QPSK",0.05,"16QAM",0.15,"64QAM",0.4,"256QAM",0.75,"1024QAM",1,"")</f>
        <v>1</v>
      </c>
      <c r="G14" t="s">
        <v>60</v>
      </c>
      <c r="H14">
        <v>1</v>
      </c>
      <c r="I14" t="s">
        <v>61</v>
      </c>
      <c r="J14">
        <v>2</v>
      </c>
      <c r="K14">
        <v>2</v>
      </c>
      <c r="L14" t="s">
        <v>62</v>
      </c>
      <c r="M14">
        <v>2</v>
      </c>
      <c r="N14">
        <v>0.47849999999999998</v>
      </c>
      <c r="O14">
        <v>0.47620000000000001</v>
      </c>
      <c r="P14">
        <v>5000</v>
      </c>
      <c r="Q14">
        <v>1425</v>
      </c>
      <c r="R14">
        <v>3575</v>
      </c>
      <c r="S14">
        <v>3.51</v>
      </c>
      <c r="T14">
        <v>2.5099999999999998</v>
      </c>
      <c r="W14">
        <v>1287</v>
      </c>
      <c r="X14">
        <v>0</v>
      </c>
      <c r="Y14">
        <v>74.260000000000005</v>
      </c>
      <c r="Z14">
        <v>9.68</v>
      </c>
      <c r="AB14">
        <v>297160000</v>
      </c>
      <c r="AC14">
        <v>76488984</v>
      </c>
      <c r="AD14">
        <v>297160000</v>
      </c>
      <c r="AE14">
        <v>76488984</v>
      </c>
      <c r="AG14">
        <v>90.32</v>
      </c>
      <c r="AH14">
        <v>25.74</v>
      </c>
      <c r="AI14">
        <v>1</v>
      </c>
      <c r="AJ14">
        <v>3.508772</v>
      </c>
      <c r="AK14">
        <v>0.1226</v>
      </c>
      <c r="AL14">
        <v>15.3</v>
      </c>
      <c r="AM14">
        <v>15298</v>
      </c>
      <c r="AN14">
        <v>1.6344000000000001</v>
      </c>
      <c r="AO14">
        <v>30</v>
      </c>
      <c r="AP14">
        <v>21.87</v>
      </c>
      <c r="AQ14">
        <v>0.72</v>
      </c>
      <c r="AR14">
        <v>-5.94</v>
      </c>
      <c r="AS14">
        <v>1.96</v>
      </c>
      <c r="AT14">
        <v>22.4</v>
      </c>
      <c r="AU14">
        <v>6666.69</v>
      </c>
      <c r="AV14">
        <v>35.81</v>
      </c>
      <c r="AW14">
        <v>25.43</v>
      </c>
      <c r="AX14">
        <v>21.45</v>
      </c>
      <c r="AY14">
        <v>5.814794</v>
      </c>
      <c r="AZ14">
        <v>73.003804000000002</v>
      </c>
      <c r="BA14">
        <v>-24.886944</v>
      </c>
      <c r="BB14">
        <v>-3.408398</v>
      </c>
      <c r="BC14">
        <v>24.886944</v>
      </c>
      <c r="BD14">
        <v>13.016</v>
      </c>
      <c r="BE14">
        <v>151.91306599999999</v>
      </c>
      <c r="BF14">
        <v>-17.958214000000002</v>
      </c>
      <c r="BG14">
        <v>3.3941439999999998</v>
      </c>
      <c r="BH14">
        <v>17.958214000000002</v>
      </c>
    </row>
    <row r="15" spans="1:60" x14ac:dyDescent="0.25">
      <c r="A15" t="s">
        <v>87</v>
      </c>
      <c r="B15" t="s">
        <v>88</v>
      </c>
      <c r="C15">
        <v>14</v>
      </c>
      <c r="D15" t="s">
        <v>59</v>
      </c>
      <c r="E15" cm="1">
        <f t="array" ref="E15">_xlfn.SWITCH(D15,"QPSK",0.1,"16QAM",0.25,"64QAM",0.5,"256QAM",0.8,"1024QAM",1,"")</f>
        <v>1</v>
      </c>
      <c r="F15" cm="1">
        <f t="array" ref="F15">_xlfn.SWITCH(D15,"QPSK",0.05,"16QAM",0.15,"64QAM",0.4,"256QAM",0.75,"1024QAM",1,"")</f>
        <v>1</v>
      </c>
      <c r="G15" t="s">
        <v>60</v>
      </c>
      <c r="H15">
        <v>4</v>
      </c>
      <c r="I15" t="s">
        <v>61</v>
      </c>
      <c r="J15">
        <v>2</v>
      </c>
      <c r="K15">
        <v>2</v>
      </c>
      <c r="L15" t="s">
        <v>62</v>
      </c>
      <c r="M15">
        <v>2</v>
      </c>
      <c r="N15">
        <v>0.47849999999999998</v>
      </c>
      <c r="O15">
        <v>0.47620000000000001</v>
      </c>
      <c r="P15">
        <v>5000</v>
      </c>
      <c r="Q15">
        <v>1413</v>
      </c>
      <c r="R15">
        <v>3587</v>
      </c>
      <c r="S15">
        <v>3.54</v>
      </c>
      <c r="T15">
        <v>2.54</v>
      </c>
      <c r="W15">
        <v>1318</v>
      </c>
      <c r="X15">
        <v>0</v>
      </c>
      <c r="Y15">
        <v>73.64</v>
      </c>
      <c r="Z15">
        <v>6.72</v>
      </c>
      <c r="AB15">
        <v>297160000</v>
      </c>
      <c r="AC15">
        <v>78331376</v>
      </c>
      <c r="AD15">
        <v>297160000</v>
      </c>
      <c r="AE15">
        <v>78331376</v>
      </c>
      <c r="AG15">
        <v>93.28</v>
      </c>
      <c r="AH15">
        <v>26.36</v>
      </c>
      <c r="AI15">
        <v>1</v>
      </c>
      <c r="AJ15">
        <v>3.53857</v>
      </c>
      <c r="AK15">
        <v>0.1255</v>
      </c>
      <c r="AL15">
        <v>15.67</v>
      </c>
      <c r="AM15">
        <v>15666</v>
      </c>
      <c r="AN15">
        <v>1.6737</v>
      </c>
      <c r="AO15">
        <v>30</v>
      </c>
      <c r="AP15">
        <v>21.87</v>
      </c>
      <c r="AQ15">
        <v>0.72</v>
      </c>
      <c r="AR15">
        <v>-5.94</v>
      </c>
      <c r="AS15">
        <v>1.96</v>
      </c>
      <c r="AT15">
        <v>22.43</v>
      </c>
      <c r="AU15">
        <v>6666.69</v>
      </c>
      <c r="AV15">
        <v>35.81</v>
      </c>
      <c r="AW15">
        <v>25.43</v>
      </c>
      <c r="AX15">
        <v>21.45</v>
      </c>
      <c r="AY15">
        <v>5.8205520000000002</v>
      </c>
      <c r="AZ15">
        <v>72.957644000000002</v>
      </c>
      <c r="BA15">
        <v>-24.880199999999999</v>
      </c>
      <c r="BB15">
        <v>-3.4152140000000002</v>
      </c>
      <c r="BC15">
        <v>24.880199999999999</v>
      </c>
      <c r="BD15">
        <v>13.019577999999999</v>
      </c>
      <c r="BE15">
        <v>152.139804</v>
      </c>
      <c r="BF15">
        <v>-17.951698</v>
      </c>
      <c r="BG15">
        <v>3.4125580000000002</v>
      </c>
      <c r="BH15">
        <v>17.951698</v>
      </c>
    </row>
    <row r="16" spans="1:60" x14ac:dyDescent="0.25">
      <c r="A16" t="s">
        <v>89</v>
      </c>
      <c r="B16" t="s">
        <v>90</v>
      </c>
      <c r="C16">
        <v>14</v>
      </c>
      <c r="D16" t="s">
        <v>59</v>
      </c>
      <c r="E16" cm="1">
        <f t="array" ref="E16">_xlfn.SWITCH(D16,"QPSK",0.1,"16QAM",0.25,"64QAM",0.5,"256QAM",0.8,"1024QAM",1,"")</f>
        <v>1</v>
      </c>
      <c r="F16" cm="1">
        <f t="array" ref="F16">_xlfn.SWITCH(D16,"QPSK",0.05,"16QAM",0.15,"64QAM",0.4,"256QAM",0.75,"1024QAM",1,"")</f>
        <v>1</v>
      </c>
      <c r="G16" t="s">
        <v>60</v>
      </c>
      <c r="H16">
        <v>8</v>
      </c>
      <c r="I16" t="s">
        <v>61</v>
      </c>
      <c r="J16">
        <v>2</v>
      </c>
      <c r="K16">
        <v>2</v>
      </c>
      <c r="L16" t="s">
        <v>62</v>
      </c>
      <c r="M16">
        <v>2</v>
      </c>
      <c r="N16">
        <v>0.47849999999999998</v>
      </c>
      <c r="O16">
        <v>0.47620000000000001</v>
      </c>
      <c r="P16">
        <v>5000</v>
      </c>
      <c r="Q16">
        <v>1402</v>
      </c>
      <c r="R16">
        <v>3598</v>
      </c>
      <c r="S16">
        <v>3.57</v>
      </c>
      <c r="T16">
        <v>2.57</v>
      </c>
      <c r="W16">
        <v>1314</v>
      </c>
      <c r="X16">
        <v>0</v>
      </c>
      <c r="Y16">
        <v>73.72</v>
      </c>
      <c r="Z16">
        <v>6.28</v>
      </c>
      <c r="AB16">
        <v>297160000</v>
      </c>
      <c r="AC16">
        <v>78093648</v>
      </c>
      <c r="AD16">
        <v>297160000</v>
      </c>
      <c r="AE16">
        <v>78093648</v>
      </c>
      <c r="AG16">
        <v>93.72</v>
      </c>
      <c r="AH16">
        <v>26.28</v>
      </c>
      <c r="AI16">
        <v>1</v>
      </c>
      <c r="AJ16">
        <v>3.5663339999999999</v>
      </c>
      <c r="AK16">
        <v>0.12520000000000001</v>
      </c>
      <c r="AL16">
        <v>15.62</v>
      </c>
      <c r="AM16">
        <v>15619</v>
      </c>
      <c r="AN16">
        <v>1.6687000000000001</v>
      </c>
      <c r="AO16">
        <v>30</v>
      </c>
      <c r="AP16">
        <v>21.87</v>
      </c>
      <c r="AQ16">
        <v>0.72</v>
      </c>
      <c r="AR16">
        <v>-5.94</v>
      </c>
      <c r="AS16">
        <v>1.96</v>
      </c>
      <c r="AT16">
        <v>22.71</v>
      </c>
      <c r="AU16">
        <v>6666.69</v>
      </c>
      <c r="AV16">
        <v>35.81</v>
      </c>
      <c r="AW16">
        <v>25.43</v>
      </c>
      <c r="AX16">
        <v>21.45</v>
      </c>
      <c r="AY16">
        <v>5.8225280000000001</v>
      </c>
      <c r="AZ16">
        <v>72.977232000000001</v>
      </c>
      <c r="BA16">
        <v>-24.876224000000001</v>
      </c>
      <c r="BB16">
        <v>-3.4147620000000001</v>
      </c>
      <c r="BC16">
        <v>24.876224000000001</v>
      </c>
      <c r="BD16">
        <v>13.018608</v>
      </c>
      <c r="BE16">
        <v>152.64357200000001</v>
      </c>
      <c r="BF16">
        <v>-17.953972</v>
      </c>
      <c r="BG16">
        <v>3.4397500000000001</v>
      </c>
      <c r="BH16">
        <v>17.953972</v>
      </c>
    </row>
    <row r="17" spans="1:60" x14ac:dyDescent="0.25">
      <c r="A17" t="s">
        <v>91</v>
      </c>
      <c r="B17" t="s">
        <v>92</v>
      </c>
      <c r="C17">
        <v>16</v>
      </c>
      <c r="D17" t="s">
        <v>59</v>
      </c>
      <c r="E17" cm="1">
        <f t="array" ref="E17">_xlfn.SWITCH(D17,"QPSK",0.1,"16QAM",0.25,"64QAM",0.5,"256QAM",0.8,"1024QAM",1,"")</f>
        <v>1</v>
      </c>
      <c r="F17" cm="1">
        <f t="array" ref="F17">_xlfn.SWITCH(D17,"QPSK",0.05,"16QAM",0.15,"64QAM",0.4,"256QAM",0.75,"1024QAM",1,"")</f>
        <v>1</v>
      </c>
      <c r="G17" t="s">
        <v>60</v>
      </c>
      <c r="H17">
        <v>1</v>
      </c>
      <c r="I17" t="s">
        <v>61</v>
      </c>
      <c r="J17">
        <v>2</v>
      </c>
      <c r="K17">
        <v>2</v>
      </c>
      <c r="L17" t="s">
        <v>62</v>
      </c>
      <c r="M17">
        <v>2</v>
      </c>
      <c r="N17">
        <v>0.47849999999999998</v>
      </c>
      <c r="O17">
        <v>0.47620000000000001</v>
      </c>
      <c r="P17">
        <v>5000</v>
      </c>
      <c r="Q17">
        <v>1631</v>
      </c>
      <c r="R17">
        <v>3369</v>
      </c>
      <c r="S17">
        <v>3.07</v>
      </c>
      <c r="T17">
        <v>2.0699999999999998</v>
      </c>
      <c r="W17">
        <v>1580</v>
      </c>
      <c r="X17">
        <v>0</v>
      </c>
      <c r="Y17">
        <v>68.400000000000006</v>
      </c>
      <c r="Z17">
        <v>3.13</v>
      </c>
      <c r="AB17">
        <v>297160000</v>
      </c>
      <c r="AC17">
        <v>93902560</v>
      </c>
      <c r="AD17">
        <v>297160000</v>
      </c>
      <c r="AE17">
        <v>93902560</v>
      </c>
      <c r="AG17">
        <v>96.87</v>
      </c>
      <c r="AH17">
        <v>31.6</v>
      </c>
      <c r="AI17">
        <v>1</v>
      </c>
      <c r="AJ17">
        <v>3.065604</v>
      </c>
      <c r="AK17">
        <v>0.15049999999999999</v>
      </c>
      <c r="AL17">
        <v>18.78</v>
      </c>
      <c r="AM17">
        <v>18781</v>
      </c>
      <c r="AN17">
        <v>2.0065</v>
      </c>
      <c r="AO17">
        <v>30</v>
      </c>
      <c r="AP17">
        <v>21.87</v>
      </c>
      <c r="AQ17">
        <v>0.72</v>
      </c>
      <c r="AR17">
        <v>-5.95</v>
      </c>
      <c r="AS17">
        <v>1.95</v>
      </c>
      <c r="AT17">
        <v>22.77</v>
      </c>
      <c r="AU17">
        <v>6666.69</v>
      </c>
      <c r="AV17">
        <v>35.81</v>
      </c>
      <c r="AW17">
        <v>26.14</v>
      </c>
      <c r="AX17">
        <v>21.37</v>
      </c>
      <c r="AY17">
        <v>5.2206679999999999</v>
      </c>
      <c r="AZ17">
        <v>65.865414000000001</v>
      </c>
      <c r="BA17">
        <v>-25.819804000000001</v>
      </c>
      <c r="BB17">
        <v>-4.2782479999999996</v>
      </c>
      <c r="BC17">
        <v>25.819804000000001</v>
      </c>
      <c r="BD17">
        <v>11.747260000000001</v>
      </c>
      <c r="BE17">
        <v>148.14990599999999</v>
      </c>
      <c r="BF17">
        <v>-18.8996</v>
      </c>
      <c r="BG17">
        <v>3.1331519999999999</v>
      </c>
      <c r="BH17">
        <v>18.8996</v>
      </c>
    </row>
    <row r="18" spans="1:60" x14ac:dyDescent="0.25">
      <c r="A18" t="s">
        <v>93</v>
      </c>
      <c r="B18" t="s">
        <v>94</v>
      </c>
      <c r="C18">
        <v>16</v>
      </c>
      <c r="D18" t="s">
        <v>59</v>
      </c>
      <c r="E18" cm="1">
        <f t="array" ref="E18">_xlfn.SWITCH(D18,"QPSK",0.1,"16QAM",0.25,"64QAM",0.5,"256QAM",0.8,"1024QAM",1,"")</f>
        <v>1</v>
      </c>
      <c r="F18" cm="1">
        <f t="array" ref="F18">_xlfn.SWITCH(D18,"QPSK",0.05,"16QAM",0.15,"64QAM",0.4,"256QAM",0.75,"1024QAM",1,"")</f>
        <v>1</v>
      </c>
      <c r="G18" t="s">
        <v>60</v>
      </c>
      <c r="H18">
        <v>4</v>
      </c>
      <c r="I18" t="s">
        <v>61</v>
      </c>
      <c r="J18">
        <v>2</v>
      </c>
      <c r="K18">
        <v>2</v>
      </c>
      <c r="L18" t="s">
        <v>62</v>
      </c>
      <c r="M18">
        <v>2</v>
      </c>
      <c r="N18">
        <v>0.47849999999999998</v>
      </c>
      <c r="O18">
        <v>0.47620000000000001</v>
      </c>
      <c r="P18">
        <v>5000</v>
      </c>
      <c r="Q18">
        <v>1621</v>
      </c>
      <c r="R18">
        <v>3379</v>
      </c>
      <c r="S18">
        <v>3.08</v>
      </c>
      <c r="T18">
        <v>2.08</v>
      </c>
      <c r="W18">
        <v>1573</v>
      </c>
      <c r="X18">
        <v>0</v>
      </c>
      <c r="Y18">
        <v>68.540000000000006</v>
      </c>
      <c r="Z18">
        <v>2.96</v>
      </c>
      <c r="AB18">
        <v>297160000</v>
      </c>
      <c r="AC18">
        <v>93486536</v>
      </c>
      <c r="AD18">
        <v>297160000</v>
      </c>
      <c r="AE18">
        <v>93486536</v>
      </c>
      <c r="AG18">
        <v>97.04</v>
      </c>
      <c r="AH18">
        <v>31.46</v>
      </c>
      <c r="AI18">
        <v>1</v>
      </c>
      <c r="AJ18">
        <v>3.0845159999999998</v>
      </c>
      <c r="AK18">
        <v>0.14979999999999999</v>
      </c>
      <c r="AL18">
        <v>18.7</v>
      </c>
      <c r="AM18">
        <v>18697</v>
      </c>
      <c r="AN18">
        <v>1.9976</v>
      </c>
      <c r="AO18">
        <v>30</v>
      </c>
      <c r="AP18">
        <v>21.87</v>
      </c>
      <c r="AQ18">
        <v>0.72</v>
      </c>
      <c r="AR18">
        <v>-5.95</v>
      </c>
      <c r="AS18">
        <v>1.95</v>
      </c>
      <c r="AT18">
        <v>22.83</v>
      </c>
      <c r="AU18">
        <v>6666.69</v>
      </c>
      <c r="AV18">
        <v>35.81</v>
      </c>
      <c r="AW18">
        <v>26.14</v>
      </c>
      <c r="AX18">
        <v>21.36</v>
      </c>
      <c r="AY18">
        <v>5.2187580000000002</v>
      </c>
      <c r="AZ18">
        <v>65.762653999999998</v>
      </c>
      <c r="BA18">
        <v>-25.822654</v>
      </c>
      <c r="BB18">
        <v>-4.3029080000000004</v>
      </c>
      <c r="BC18">
        <v>25.822654</v>
      </c>
      <c r="BD18">
        <v>11.756916</v>
      </c>
      <c r="BE18">
        <v>148.46305799999999</v>
      </c>
      <c r="BF18">
        <v>-18.894262000000001</v>
      </c>
      <c r="BG18">
        <v>3.1465960000000002</v>
      </c>
      <c r="BH18">
        <v>18.894262000000001</v>
      </c>
    </row>
    <row r="19" spans="1:60" x14ac:dyDescent="0.25">
      <c r="A19" t="s">
        <v>95</v>
      </c>
      <c r="B19" t="s">
        <v>96</v>
      </c>
      <c r="C19">
        <v>16</v>
      </c>
      <c r="D19" t="s">
        <v>59</v>
      </c>
      <c r="E19" cm="1">
        <f t="array" ref="E19">_xlfn.SWITCH(D19,"QPSK",0.1,"16QAM",0.25,"64QAM",0.5,"256QAM",0.8,"1024QAM",1,"")</f>
        <v>1</v>
      </c>
      <c r="F19" cm="1">
        <f t="array" ref="F19">_xlfn.SWITCH(D19,"QPSK",0.05,"16QAM",0.15,"64QAM",0.4,"256QAM",0.75,"1024QAM",1,"")</f>
        <v>1</v>
      </c>
      <c r="G19" t="s">
        <v>60</v>
      </c>
      <c r="H19">
        <v>8</v>
      </c>
      <c r="I19" t="s">
        <v>61</v>
      </c>
      <c r="J19">
        <v>2</v>
      </c>
      <c r="K19">
        <v>2</v>
      </c>
      <c r="L19" t="s">
        <v>62</v>
      </c>
      <c r="M19">
        <v>2</v>
      </c>
      <c r="N19">
        <v>0.47849999999999998</v>
      </c>
      <c r="O19">
        <v>0.47620000000000001</v>
      </c>
      <c r="P19">
        <v>5000</v>
      </c>
      <c r="Q19">
        <v>1618</v>
      </c>
      <c r="R19">
        <v>3382</v>
      </c>
      <c r="S19">
        <v>3.09</v>
      </c>
      <c r="T19">
        <v>2.09</v>
      </c>
      <c r="W19">
        <v>1578</v>
      </c>
      <c r="X19">
        <v>0</v>
      </c>
      <c r="Y19">
        <v>68.44</v>
      </c>
      <c r="Z19">
        <v>2.4700000000000002</v>
      </c>
      <c r="AB19">
        <v>297160000</v>
      </c>
      <c r="AC19">
        <v>93783696</v>
      </c>
      <c r="AD19">
        <v>297160000</v>
      </c>
      <c r="AE19">
        <v>93783696</v>
      </c>
      <c r="AG19">
        <v>97.53</v>
      </c>
      <c r="AH19">
        <v>31.56</v>
      </c>
      <c r="AI19">
        <v>1</v>
      </c>
      <c r="AJ19">
        <v>3.0902349999999998</v>
      </c>
      <c r="AK19">
        <v>0.15029999999999999</v>
      </c>
      <c r="AL19">
        <v>18.760000000000002</v>
      </c>
      <c r="AM19">
        <v>18757</v>
      </c>
      <c r="AN19">
        <v>2.0038999999999998</v>
      </c>
      <c r="AO19">
        <v>30</v>
      </c>
      <c r="AP19">
        <v>21.87</v>
      </c>
      <c r="AQ19">
        <v>0.72</v>
      </c>
      <c r="AR19">
        <v>-5.95</v>
      </c>
      <c r="AS19">
        <v>1.95</v>
      </c>
      <c r="AT19">
        <v>23.04</v>
      </c>
      <c r="AU19">
        <v>6666.69</v>
      </c>
      <c r="AV19">
        <v>35.81</v>
      </c>
      <c r="AW19">
        <v>26.14</v>
      </c>
      <c r="AX19">
        <v>21.34</v>
      </c>
      <c r="AY19">
        <v>5.2209519999999996</v>
      </c>
      <c r="AZ19">
        <v>65.903509999999997</v>
      </c>
      <c r="BA19">
        <v>-25.818536000000002</v>
      </c>
      <c r="BB19">
        <v>-4.2791300000000003</v>
      </c>
      <c r="BC19">
        <v>25.818536000000002</v>
      </c>
      <c r="BD19">
        <v>11.777927999999999</v>
      </c>
      <c r="BE19">
        <v>148.94993400000001</v>
      </c>
      <c r="BF19">
        <v>-18.876691999999998</v>
      </c>
      <c r="BG19">
        <v>3.1730459999999998</v>
      </c>
      <c r="BH19">
        <v>18.876691999999998</v>
      </c>
    </row>
    <row r="20" spans="1:60" x14ac:dyDescent="0.25">
      <c r="A20" t="s">
        <v>97</v>
      </c>
      <c r="B20" t="s">
        <v>98</v>
      </c>
      <c r="C20">
        <v>18</v>
      </c>
      <c r="D20" t="s">
        <v>59</v>
      </c>
      <c r="E20" cm="1">
        <f t="array" ref="E20">_xlfn.SWITCH(D20,"QPSK",0.1,"16QAM",0.25,"64QAM",0.5,"256QAM",0.8,"1024QAM",1,"")</f>
        <v>1</v>
      </c>
      <c r="F20" cm="1">
        <f t="array" ref="F20">_xlfn.SWITCH(D20,"QPSK",0.05,"16QAM",0.15,"64QAM",0.4,"256QAM",0.75,"1024QAM",1,"")</f>
        <v>1</v>
      </c>
      <c r="G20" t="s">
        <v>60</v>
      </c>
      <c r="H20">
        <v>1</v>
      </c>
      <c r="I20" t="s">
        <v>61</v>
      </c>
      <c r="J20">
        <v>2</v>
      </c>
      <c r="K20">
        <v>2</v>
      </c>
      <c r="L20" t="s">
        <v>62</v>
      </c>
      <c r="M20">
        <v>2</v>
      </c>
      <c r="N20">
        <v>0.47849999999999998</v>
      </c>
      <c r="O20">
        <v>0.47620000000000001</v>
      </c>
      <c r="P20">
        <v>5000</v>
      </c>
      <c r="Q20">
        <v>1914</v>
      </c>
      <c r="R20">
        <v>3086</v>
      </c>
      <c r="S20">
        <v>2.61</v>
      </c>
      <c r="T20">
        <v>1.61</v>
      </c>
      <c r="W20">
        <v>1897</v>
      </c>
      <c r="X20">
        <v>0</v>
      </c>
      <c r="Y20">
        <v>62.06</v>
      </c>
      <c r="Z20">
        <v>0.89</v>
      </c>
      <c r="AB20">
        <v>297160000</v>
      </c>
      <c r="AC20">
        <v>112742504</v>
      </c>
      <c r="AD20">
        <v>297160000</v>
      </c>
      <c r="AE20">
        <v>112742504</v>
      </c>
      <c r="AG20">
        <v>99.11</v>
      </c>
      <c r="AH20">
        <v>37.94</v>
      </c>
      <c r="AI20">
        <v>1</v>
      </c>
      <c r="AJ20">
        <v>2.61233</v>
      </c>
      <c r="AK20">
        <v>0.1807</v>
      </c>
      <c r="AL20">
        <v>22.55</v>
      </c>
      <c r="AM20">
        <v>22549</v>
      </c>
      <c r="AN20">
        <v>2.4089999999999998</v>
      </c>
      <c r="AO20">
        <v>30</v>
      </c>
      <c r="AP20">
        <v>21.87</v>
      </c>
      <c r="AQ20">
        <v>0.72</v>
      </c>
      <c r="AR20">
        <v>-5.96</v>
      </c>
      <c r="AS20">
        <v>1.95</v>
      </c>
      <c r="AT20">
        <v>23.86</v>
      </c>
      <c r="AU20">
        <v>6666.69</v>
      </c>
      <c r="AV20">
        <v>35.81</v>
      </c>
      <c r="AW20">
        <v>26.89</v>
      </c>
      <c r="AX20">
        <v>21.64</v>
      </c>
      <c r="AY20">
        <v>4.7032239999999996</v>
      </c>
      <c r="AZ20">
        <v>57.958210000000001</v>
      </c>
      <c r="BA20">
        <v>-26.71238</v>
      </c>
      <c r="BB20">
        <v>-5.4128619999999996</v>
      </c>
      <c r="BC20">
        <v>26.71238</v>
      </c>
      <c r="BD20">
        <v>10.474285999999999</v>
      </c>
      <c r="BE20">
        <v>141.55211399999999</v>
      </c>
      <c r="BF20">
        <v>-19.974112000000002</v>
      </c>
      <c r="BG20">
        <v>2.6620080000000002</v>
      </c>
      <c r="BH20">
        <v>19.974112000000002</v>
      </c>
    </row>
    <row r="21" spans="1:60" x14ac:dyDescent="0.25">
      <c r="A21" t="s">
        <v>99</v>
      </c>
      <c r="B21" t="s">
        <v>100</v>
      </c>
      <c r="C21">
        <v>18</v>
      </c>
      <c r="D21" t="s">
        <v>59</v>
      </c>
      <c r="E21" cm="1">
        <f t="array" ref="E21">_xlfn.SWITCH(D21,"QPSK",0.1,"16QAM",0.25,"64QAM",0.5,"256QAM",0.8,"1024QAM",1,"")</f>
        <v>1</v>
      </c>
      <c r="F21" cm="1">
        <f t="array" ref="F21">_xlfn.SWITCH(D21,"QPSK",0.05,"16QAM",0.15,"64QAM",0.4,"256QAM",0.75,"1024QAM",1,"")</f>
        <v>1</v>
      </c>
      <c r="G21" t="s">
        <v>60</v>
      </c>
      <c r="H21">
        <v>4</v>
      </c>
      <c r="I21" t="s">
        <v>61</v>
      </c>
      <c r="J21">
        <v>2</v>
      </c>
      <c r="K21">
        <v>2</v>
      </c>
      <c r="L21" t="s">
        <v>62</v>
      </c>
      <c r="M21">
        <v>2</v>
      </c>
      <c r="N21">
        <v>0.47849999999999998</v>
      </c>
      <c r="O21">
        <v>0.47620000000000001</v>
      </c>
      <c r="P21">
        <v>5000</v>
      </c>
      <c r="Q21">
        <v>1908</v>
      </c>
      <c r="R21">
        <v>3092</v>
      </c>
      <c r="S21">
        <v>2.62</v>
      </c>
      <c r="T21">
        <v>1.62</v>
      </c>
      <c r="W21">
        <v>1902</v>
      </c>
      <c r="X21">
        <v>0</v>
      </c>
      <c r="Y21">
        <v>61.96</v>
      </c>
      <c r="Z21">
        <v>0.31</v>
      </c>
      <c r="AB21">
        <v>297160000</v>
      </c>
      <c r="AC21">
        <v>113039664</v>
      </c>
      <c r="AD21">
        <v>297160000</v>
      </c>
      <c r="AE21">
        <v>113039664</v>
      </c>
      <c r="AG21">
        <v>99.69</v>
      </c>
      <c r="AH21">
        <v>38.04</v>
      </c>
      <c r="AI21">
        <v>1</v>
      </c>
      <c r="AJ21">
        <v>2.6205449999999999</v>
      </c>
      <c r="AK21">
        <v>0.1812</v>
      </c>
      <c r="AL21">
        <v>22.61</v>
      </c>
      <c r="AM21">
        <v>22608</v>
      </c>
      <c r="AN21">
        <v>2.4154</v>
      </c>
      <c r="AO21">
        <v>30</v>
      </c>
      <c r="AP21">
        <v>21.87</v>
      </c>
      <c r="AQ21">
        <v>0.72</v>
      </c>
      <c r="AR21">
        <v>-5.96</v>
      </c>
      <c r="AS21">
        <v>1.95</v>
      </c>
      <c r="AT21">
        <v>23.98</v>
      </c>
      <c r="AU21">
        <v>6666.69</v>
      </c>
      <c r="AV21">
        <v>35.81</v>
      </c>
      <c r="AW21">
        <v>26.91</v>
      </c>
      <c r="AX21">
        <v>21.65</v>
      </c>
      <c r="AY21">
        <v>4.6963499999999998</v>
      </c>
      <c r="AZ21">
        <v>57.989655999999997</v>
      </c>
      <c r="BA21">
        <v>-26.722338000000001</v>
      </c>
      <c r="BB21">
        <v>-5.401262</v>
      </c>
      <c r="BC21">
        <v>26.722338000000001</v>
      </c>
      <c r="BD21">
        <v>10.47179</v>
      </c>
      <c r="BE21">
        <v>141.79243199999999</v>
      </c>
      <c r="BF21">
        <v>-19.977404</v>
      </c>
      <c r="BG21">
        <v>2.6723979999999998</v>
      </c>
      <c r="BH21">
        <v>19.977404</v>
      </c>
    </row>
    <row r="22" spans="1:60" x14ac:dyDescent="0.25">
      <c r="A22" t="s">
        <v>101</v>
      </c>
      <c r="B22" t="s">
        <v>102</v>
      </c>
      <c r="C22">
        <v>18</v>
      </c>
      <c r="D22" t="s">
        <v>59</v>
      </c>
      <c r="E22" cm="1">
        <f t="array" ref="E22">_xlfn.SWITCH(D22,"QPSK",0.1,"16QAM",0.25,"64QAM",0.5,"256QAM",0.8,"1024QAM",1,"")</f>
        <v>1</v>
      </c>
      <c r="F22" cm="1">
        <f t="array" ref="F22">_xlfn.SWITCH(D22,"QPSK",0.05,"16QAM",0.15,"64QAM",0.4,"256QAM",0.75,"1024QAM",1,"")</f>
        <v>1</v>
      </c>
      <c r="G22" t="s">
        <v>60</v>
      </c>
      <c r="H22">
        <v>8</v>
      </c>
      <c r="I22" t="s">
        <v>61</v>
      </c>
      <c r="J22">
        <v>2</v>
      </c>
      <c r="K22">
        <v>2</v>
      </c>
      <c r="L22" t="s">
        <v>62</v>
      </c>
      <c r="M22">
        <v>2</v>
      </c>
      <c r="N22">
        <v>0.47849999999999998</v>
      </c>
      <c r="O22">
        <v>0.47620000000000001</v>
      </c>
      <c r="P22">
        <v>5000</v>
      </c>
      <c r="Q22">
        <v>1890</v>
      </c>
      <c r="R22">
        <v>3110</v>
      </c>
      <c r="S22">
        <v>2.65</v>
      </c>
      <c r="T22">
        <v>1.65</v>
      </c>
      <c r="W22">
        <v>1879</v>
      </c>
      <c r="X22">
        <v>0</v>
      </c>
      <c r="Y22">
        <v>62.42</v>
      </c>
      <c r="Z22">
        <v>0.57999999999999996</v>
      </c>
      <c r="AB22">
        <v>297160000</v>
      </c>
      <c r="AC22">
        <v>111672728</v>
      </c>
      <c r="AD22">
        <v>297160000</v>
      </c>
      <c r="AE22">
        <v>111672728</v>
      </c>
      <c r="AG22">
        <v>99.42</v>
      </c>
      <c r="AH22">
        <v>37.58</v>
      </c>
      <c r="AI22">
        <v>1</v>
      </c>
      <c r="AJ22">
        <v>2.6455030000000002</v>
      </c>
      <c r="AK22">
        <v>0.17899999999999999</v>
      </c>
      <c r="AL22">
        <v>22.33</v>
      </c>
      <c r="AM22">
        <v>22335</v>
      </c>
      <c r="AN22">
        <v>2.3862000000000001</v>
      </c>
      <c r="AO22">
        <v>30</v>
      </c>
      <c r="AP22">
        <v>21.87</v>
      </c>
      <c r="AQ22">
        <v>0.72</v>
      </c>
      <c r="AR22">
        <v>-5.96</v>
      </c>
      <c r="AS22">
        <v>1.95</v>
      </c>
      <c r="AT22">
        <v>23.61</v>
      </c>
      <c r="AU22">
        <v>6666.69</v>
      </c>
      <c r="AV22">
        <v>35.81</v>
      </c>
      <c r="AW22">
        <v>26.89</v>
      </c>
      <c r="AX22">
        <v>21.64</v>
      </c>
      <c r="AY22">
        <v>4.7086600000000001</v>
      </c>
      <c r="AZ22">
        <v>58.489040000000003</v>
      </c>
      <c r="BA22">
        <v>-26.702497999999999</v>
      </c>
      <c r="BB22">
        <v>-5.3565420000000001</v>
      </c>
      <c r="BC22">
        <v>26.702497999999999</v>
      </c>
      <c r="BD22">
        <v>10.482989999999999</v>
      </c>
      <c r="BE22">
        <v>142.36802800000001</v>
      </c>
      <c r="BF22">
        <v>-19.971565999999999</v>
      </c>
      <c r="BG22">
        <v>2.6960739999999999</v>
      </c>
      <c r="BH22">
        <v>19.971565999999999</v>
      </c>
    </row>
    <row r="23" spans="1:60" x14ac:dyDescent="0.25">
      <c r="A23" t="s">
        <v>103</v>
      </c>
      <c r="B23" t="s">
        <v>104</v>
      </c>
      <c r="C23">
        <v>2</v>
      </c>
      <c r="D23" t="s">
        <v>59</v>
      </c>
      <c r="E23" cm="1">
        <f t="array" ref="E23">_xlfn.SWITCH(D23,"QPSK",0.1,"16QAM",0.25,"64QAM",0.5,"256QAM",0.8,"1024QAM",1,"")</f>
        <v>1</v>
      </c>
      <c r="F23" cm="1">
        <f t="array" ref="F23">_xlfn.SWITCH(D23,"QPSK",0.05,"16QAM",0.15,"64QAM",0.4,"256QAM",0.75,"1024QAM",1,"")</f>
        <v>1</v>
      </c>
      <c r="G23" t="s">
        <v>60</v>
      </c>
      <c r="H23">
        <v>1</v>
      </c>
      <c r="I23" t="s">
        <v>61</v>
      </c>
      <c r="J23">
        <v>2</v>
      </c>
      <c r="K23">
        <v>2</v>
      </c>
      <c r="L23" t="s">
        <v>62</v>
      </c>
      <c r="M23">
        <v>2</v>
      </c>
      <c r="N23">
        <v>0.47849999999999998</v>
      </c>
      <c r="O23">
        <v>0.47620000000000001</v>
      </c>
      <c r="P23">
        <v>5000</v>
      </c>
      <c r="Q23">
        <v>1250</v>
      </c>
      <c r="R23">
        <v>3750</v>
      </c>
      <c r="S23">
        <v>4</v>
      </c>
      <c r="T23">
        <v>3</v>
      </c>
      <c r="W23">
        <v>0</v>
      </c>
      <c r="X23">
        <v>0</v>
      </c>
      <c r="Y23">
        <v>100</v>
      </c>
      <c r="Z23">
        <v>100</v>
      </c>
      <c r="AB23">
        <v>297160000</v>
      </c>
      <c r="AC23">
        <v>0</v>
      </c>
      <c r="AD23">
        <v>297160000</v>
      </c>
      <c r="AE23">
        <v>0</v>
      </c>
      <c r="AG23">
        <v>0</v>
      </c>
      <c r="AH23">
        <v>0</v>
      </c>
      <c r="AI23">
        <v>1</v>
      </c>
      <c r="AJ23">
        <v>4</v>
      </c>
      <c r="AK23">
        <v>0</v>
      </c>
      <c r="AL23">
        <v>0</v>
      </c>
      <c r="AM23">
        <v>0</v>
      </c>
      <c r="AN23">
        <v>0</v>
      </c>
      <c r="AO23">
        <v>30</v>
      </c>
      <c r="AP23">
        <v>21.87</v>
      </c>
      <c r="AQ23">
        <v>0.72</v>
      </c>
      <c r="AR23">
        <v>-5.83</v>
      </c>
      <c r="AS23">
        <v>1.89</v>
      </c>
      <c r="AT23">
        <v>13</v>
      </c>
      <c r="AU23">
        <v>6666.69</v>
      </c>
      <c r="AV23">
        <v>35.81</v>
      </c>
      <c r="AW23">
        <v>23.67</v>
      </c>
      <c r="AX23">
        <v>23.19</v>
      </c>
      <c r="AY23">
        <v>12.59934</v>
      </c>
      <c r="AZ23">
        <v>120.698724</v>
      </c>
      <c r="BA23">
        <v>-18.12079</v>
      </c>
      <c r="BB23">
        <v>1.4672860000000001</v>
      </c>
      <c r="BC23">
        <v>18.12079</v>
      </c>
      <c r="BD23">
        <v>21.333210000000001</v>
      </c>
      <c r="BE23">
        <v>216.12775999999999</v>
      </c>
      <c r="BF23">
        <v>-13.568018</v>
      </c>
      <c r="BG23">
        <v>6.4247500000000004</v>
      </c>
      <c r="BH23">
        <v>13.568018</v>
      </c>
    </row>
    <row r="24" spans="1:60" x14ac:dyDescent="0.25">
      <c r="A24" t="s">
        <v>105</v>
      </c>
      <c r="B24" t="s">
        <v>106</v>
      </c>
      <c r="C24">
        <v>2</v>
      </c>
      <c r="D24" t="s">
        <v>59</v>
      </c>
      <c r="E24" cm="1">
        <f t="array" ref="E24">_xlfn.SWITCH(D24,"QPSK",0.1,"16QAM",0.25,"64QAM",0.5,"256QAM",0.8,"1024QAM",1,"")</f>
        <v>1</v>
      </c>
      <c r="F24" cm="1">
        <f t="array" ref="F24">_xlfn.SWITCH(D24,"QPSK",0.05,"16QAM",0.15,"64QAM",0.4,"256QAM",0.75,"1024QAM",1,"")</f>
        <v>1</v>
      </c>
      <c r="G24" t="s">
        <v>60</v>
      </c>
      <c r="H24">
        <v>4</v>
      </c>
      <c r="I24" t="s">
        <v>61</v>
      </c>
      <c r="J24">
        <v>2</v>
      </c>
      <c r="K24">
        <v>2</v>
      </c>
      <c r="L24" t="s">
        <v>62</v>
      </c>
      <c r="M24">
        <v>2</v>
      </c>
      <c r="N24">
        <v>0.47849999999999998</v>
      </c>
      <c r="O24">
        <v>0.47620000000000001</v>
      </c>
      <c r="P24">
        <v>5000</v>
      </c>
      <c r="Q24">
        <v>1252</v>
      </c>
      <c r="R24">
        <v>3748</v>
      </c>
      <c r="S24">
        <v>3.99</v>
      </c>
      <c r="T24">
        <v>2.99</v>
      </c>
      <c r="W24">
        <v>0</v>
      </c>
      <c r="X24">
        <v>0</v>
      </c>
      <c r="Y24">
        <v>100</v>
      </c>
      <c r="Z24">
        <v>100</v>
      </c>
      <c r="AB24">
        <v>297160000</v>
      </c>
      <c r="AC24">
        <v>0</v>
      </c>
      <c r="AD24">
        <v>297160000</v>
      </c>
      <c r="AE24">
        <v>0</v>
      </c>
      <c r="AG24">
        <v>0</v>
      </c>
      <c r="AH24">
        <v>0</v>
      </c>
      <c r="AI24">
        <v>1</v>
      </c>
      <c r="AJ24">
        <v>3.9936099999999999</v>
      </c>
      <c r="AK24">
        <v>0</v>
      </c>
      <c r="AL24">
        <v>0</v>
      </c>
      <c r="AM24">
        <v>0</v>
      </c>
      <c r="AN24">
        <v>0</v>
      </c>
      <c r="AO24">
        <v>30</v>
      </c>
      <c r="AP24">
        <v>21.87</v>
      </c>
      <c r="AQ24">
        <v>0.72</v>
      </c>
      <c r="AR24">
        <v>-5.83</v>
      </c>
      <c r="AS24">
        <v>1.89</v>
      </c>
      <c r="AT24">
        <v>12.98</v>
      </c>
      <c r="AU24">
        <v>6666.69</v>
      </c>
      <c r="AV24">
        <v>35.81</v>
      </c>
      <c r="AW24">
        <v>23.67</v>
      </c>
      <c r="AX24">
        <v>23.19</v>
      </c>
      <c r="AY24">
        <v>12.596638</v>
      </c>
      <c r="AZ24">
        <v>120.956008</v>
      </c>
      <c r="BA24">
        <v>-18.122792</v>
      </c>
      <c r="BB24">
        <v>1.4785140000000001</v>
      </c>
      <c r="BC24">
        <v>18.122792</v>
      </c>
      <c r="BD24">
        <v>21.354952000000001</v>
      </c>
      <c r="BE24">
        <v>216.47112999999999</v>
      </c>
      <c r="BF24">
        <v>-13.562531999999999</v>
      </c>
      <c r="BG24">
        <v>6.4287919999999996</v>
      </c>
      <c r="BH24">
        <v>13.562531999999999</v>
      </c>
    </row>
    <row r="25" spans="1:60" x14ac:dyDescent="0.25">
      <c r="A25" t="s">
        <v>107</v>
      </c>
      <c r="B25" t="s">
        <v>108</v>
      </c>
      <c r="C25">
        <v>2</v>
      </c>
      <c r="D25" t="s">
        <v>59</v>
      </c>
      <c r="E25" cm="1">
        <f t="array" ref="E25">_xlfn.SWITCH(D25,"QPSK",0.1,"16QAM",0.25,"64QAM",0.5,"256QAM",0.8,"1024QAM",1,"")</f>
        <v>1</v>
      </c>
      <c r="F25" cm="1">
        <f t="array" ref="F25">_xlfn.SWITCH(D25,"QPSK",0.05,"16QAM",0.15,"64QAM",0.4,"256QAM",0.75,"1024QAM",1,"")</f>
        <v>1</v>
      </c>
      <c r="G25" t="s">
        <v>60</v>
      </c>
      <c r="H25">
        <v>8</v>
      </c>
      <c r="I25" t="s">
        <v>61</v>
      </c>
      <c r="J25">
        <v>2</v>
      </c>
      <c r="K25">
        <v>2</v>
      </c>
      <c r="L25" t="s">
        <v>62</v>
      </c>
      <c r="M25">
        <v>2</v>
      </c>
      <c r="N25">
        <v>0.47849999999999998</v>
      </c>
      <c r="O25">
        <v>0.47620000000000001</v>
      </c>
      <c r="P25">
        <v>5000</v>
      </c>
      <c r="Q25">
        <v>1256</v>
      </c>
      <c r="R25">
        <v>3744</v>
      </c>
      <c r="S25">
        <v>3.98</v>
      </c>
      <c r="T25">
        <v>2.98</v>
      </c>
      <c r="W25">
        <v>0</v>
      </c>
      <c r="X25">
        <v>0</v>
      </c>
      <c r="Y25">
        <v>100</v>
      </c>
      <c r="Z25">
        <v>100</v>
      </c>
      <c r="AB25">
        <v>297160000</v>
      </c>
      <c r="AC25">
        <v>0</v>
      </c>
      <c r="AD25">
        <v>297160000</v>
      </c>
      <c r="AE25">
        <v>0</v>
      </c>
      <c r="AG25">
        <v>0</v>
      </c>
      <c r="AH25">
        <v>0</v>
      </c>
      <c r="AI25">
        <v>1</v>
      </c>
      <c r="AJ25">
        <v>3.9808919999999999</v>
      </c>
      <c r="AK25">
        <v>0</v>
      </c>
      <c r="AL25">
        <v>0</v>
      </c>
      <c r="AM25">
        <v>0</v>
      </c>
      <c r="AN25">
        <v>0</v>
      </c>
      <c r="AO25">
        <v>30</v>
      </c>
      <c r="AP25">
        <v>21.87</v>
      </c>
      <c r="AQ25">
        <v>0.72</v>
      </c>
      <c r="AR25">
        <v>-5.83</v>
      </c>
      <c r="AS25">
        <v>1.89</v>
      </c>
      <c r="AT25">
        <v>13.13</v>
      </c>
      <c r="AU25">
        <v>6666.69</v>
      </c>
      <c r="AV25">
        <v>35.81</v>
      </c>
      <c r="AW25">
        <v>23.68</v>
      </c>
      <c r="AX25">
        <v>23.19</v>
      </c>
      <c r="AY25">
        <v>12.595446000000001</v>
      </c>
      <c r="AZ25">
        <v>120.789568</v>
      </c>
      <c r="BA25">
        <v>-18.122873999999999</v>
      </c>
      <c r="BB25">
        <v>1.4743999999999999</v>
      </c>
      <c r="BC25">
        <v>18.122873999999999</v>
      </c>
      <c r="BD25">
        <v>21.341643999999999</v>
      </c>
      <c r="BE25">
        <v>216.92801399999999</v>
      </c>
      <c r="BF25">
        <v>-13.566934</v>
      </c>
      <c r="BG25">
        <v>6.4382739999999998</v>
      </c>
      <c r="BH25">
        <v>13.566934</v>
      </c>
    </row>
    <row r="26" spans="1:60" x14ac:dyDescent="0.25">
      <c r="A26" t="s">
        <v>109</v>
      </c>
      <c r="B26" t="s">
        <v>110</v>
      </c>
      <c r="C26">
        <v>20</v>
      </c>
      <c r="D26" t="s">
        <v>59</v>
      </c>
      <c r="E26" cm="1">
        <f t="array" ref="E26">_xlfn.SWITCH(D26,"QPSK",0.1,"16QAM",0.25,"64QAM",0.5,"256QAM",0.8,"1024QAM",1,"")</f>
        <v>1</v>
      </c>
      <c r="F26" cm="1">
        <f t="array" ref="F26">_xlfn.SWITCH(D26,"QPSK",0.05,"16QAM",0.15,"64QAM",0.4,"256QAM",0.75,"1024QAM",1,"")</f>
        <v>1</v>
      </c>
      <c r="G26" t="s">
        <v>60</v>
      </c>
      <c r="H26">
        <v>1</v>
      </c>
      <c r="I26" t="s">
        <v>61</v>
      </c>
      <c r="J26">
        <v>2</v>
      </c>
      <c r="K26">
        <v>2</v>
      </c>
      <c r="L26" t="s">
        <v>62</v>
      </c>
      <c r="M26">
        <v>2</v>
      </c>
      <c r="N26">
        <v>0.47849999999999998</v>
      </c>
      <c r="O26">
        <v>0.47620000000000001</v>
      </c>
      <c r="P26">
        <v>5000</v>
      </c>
      <c r="Q26">
        <v>2164</v>
      </c>
      <c r="R26">
        <v>2836</v>
      </c>
      <c r="S26">
        <v>2.31</v>
      </c>
      <c r="T26">
        <v>1.31</v>
      </c>
      <c r="W26">
        <v>2162</v>
      </c>
      <c r="X26">
        <v>0</v>
      </c>
      <c r="Y26">
        <v>56.76</v>
      </c>
      <c r="Z26">
        <v>0.09</v>
      </c>
      <c r="AB26">
        <v>297160000</v>
      </c>
      <c r="AC26">
        <v>128491984</v>
      </c>
      <c r="AD26">
        <v>297160000</v>
      </c>
      <c r="AE26">
        <v>128491984</v>
      </c>
      <c r="AG26">
        <v>99.91</v>
      </c>
      <c r="AH26">
        <v>43.24</v>
      </c>
      <c r="AI26">
        <v>1</v>
      </c>
      <c r="AJ26">
        <v>2.3105359999999999</v>
      </c>
      <c r="AK26">
        <v>0.2059</v>
      </c>
      <c r="AL26">
        <v>25.7</v>
      </c>
      <c r="AM26">
        <v>25698</v>
      </c>
      <c r="AN26">
        <v>2.7456</v>
      </c>
      <c r="AO26">
        <v>30</v>
      </c>
      <c r="AP26">
        <v>21.87</v>
      </c>
      <c r="AQ26">
        <v>0.72</v>
      </c>
      <c r="AR26">
        <v>-5.98</v>
      </c>
      <c r="AS26">
        <v>1.95</v>
      </c>
      <c r="AT26">
        <v>25.91</v>
      </c>
      <c r="AU26">
        <v>6666.69</v>
      </c>
      <c r="AV26">
        <v>35.81</v>
      </c>
      <c r="AW26">
        <v>27.64</v>
      </c>
      <c r="AX26">
        <v>22.27</v>
      </c>
      <c r="AY26">
        <v>4.2609700000000004</v>
      </c>
      <c r="AZ26">
        <v>49.806587999999998</v>
      </c>
      <c r="BA26">
        <v>-27.535900000000002</v>
      </c>
      <c r="BB26">
        <v>-6.7844179999999996</v>
      </c>
      <c r="BC26">
        <v>27.535900000000002</v>
      </c>
      <c r="BD26">
        <v>9.1978639999999992</v>
      </c>
      <c r="BE26">
        <v>130.730208</v>
      </c>
      <c r="BF26">
        <v>-21.161708000000001</v>
      </c>
      <c r="BG26">
        <v>1.8871579999999999</v>
      </c>
      <c r="BH26">
        <v>21.161708000000001</v>
      </c>
    </row>
    <row r="27" spans="1:60" x14ac:dyDescent="0.25">
      <c r="A27" t="s">
        <v>111</v>
      </c>
      <c r="B27" t="s">
        <v>112</v>
      </c>
      <c r="C27">
        <v>20</v>
      </c>
      <c r="D27" t="s">
        <v>59</v>
      </c>
      <c r="E27" cm="1">
        <f t="array" ref="E27">_xlfn.SWITCH(D27,"QPSK",0.1,"16QAM",0.25,"64QAM",0.5,"256QAM",0.8,"1024QAM",1,"")</f>
        <v>1</v>
      </c>
      <c r="F27" cm="1">
        <f t="array" ref="F27">_xlfn.SWITCH(D27,"QPSK",0.05,"16QAM",0.15,"64QAM",0.4,"256QAM",0.75,"1024QAM",1,"")</f>
        <v>1</v>
      </c>
      <c r="G27" t="s">
        <v>60</v>
      </c>
      <c r="H27">
        <v>4</v>
      </c>
      <c r="I27" t="s">
        <v>61</v>
      </c>
      <c r="J27">
        <v>2</v>
      </c>
      <c r="K27">
        <v>2</v>
      </c>
      <c r="L27" t="s">
        <v>62</v>
      </c>
      <c r="M27">
        <v>2</v>
      </c>
      <c r="N27">
        <v>0.47849999999999998</v>
      </c>
      <c r="O27">
        <v>0.47620000000000001</v>
      </c>
      <c r="P27">
        <v>5000</v>
      </c>
      <c r="Q27">
        <v>2151</v>
      </c>
      <c r="R27">
        <v>2849</v>
      </c>
      <c r="S27">
        <v>2.3199999999999998</v>
      </c>
      <c r="T27">
        <v>1.32</v>
      </c>
      <c r="W27">
        <v>2147</v>
      </c>
      <c r="X27">
        <v>0</v>
      </c>
      <c r="Y27">
        <v>57.06</v>
      </c>
      <c r="Z27">
        <v>0.19</v>
      </c>
      <c r="AB27">
        <v>297160000</v>
      </c>
      <c r="AC27">
        <v>127600504</v>
      </c>
      <c r="AD27">
        <v>297160000</v>
      </c>
      <c r="AE27">
        <v>127600504</v>
      </c>
      <c r="AG27">
        <v>99.81</v>
      </c>
      <c r="AH27">
        <v>42.94</v>
      </c>
      <c r="AI27">
        <v>1</v>
      </c>
      <c r="AJ27">
        <v>2.3245</v>
      </c>
      <c r="AK27">
        <v>0.20449999999999999</v>
      </c>
      <c r="AL27">
        <v>25.52</v>
      </c>
      <c r="AM27">
        <v>25520</v>
      </c>
      <c r="AN27">
        <v>2.7265000000000001</v>
      </c>
      <c r="AO27">
        <v>30</v>
      </c>
      <c r="AP27">
        <v>21.87</v>
      </c>
      <c r="AQ27">
        <v>0.72</v>
      </c>
      <c r="AR27">
        <v>-5.98</v>
      </c>
      <c r="AS27">
        <v>1.95</v>
      </c>
      <c r="AT27">
        <v>25.77</v>
      </c>
      <c r="AU27">
        <v>6666.69</v>
      </c>
      <c r="AV27">
        <v>35.81</v>
      </c>
      <c r="AW27">
        <v>27.63</v>
      </c>
      <c r="AX27">
        <v>22.25</v>
      </c>
      <c r="AY27">
        <v>4.2644460000000004</v>
      </c>
      <c r="AZ27">
        <v>49.950628000000002</v>
      </c>
      <c r="BA27">
        <v>-27.52749</v>
      </c>
      <c r="BB27">
        <v>-6.742108</v>
      </c>
      <c r="BC27">
        <v>27.52749</v>
      </c>
      <c r="BD27">
        <v>9.2136680000000002</v>
      </c>
      <c r="BE27">
        <v>131.956536</v>
      </c>
      <c r="BF27">
        <v>-21.147676000000001</v>
      </c>
      <c r="BG27">
        <v>1.954812</v>
      </c>
      <c r="BH27">
        <v>21.147676000000001</v>
      </c>
    </row>
    <row r="28" spans="1:60" x14ac:dyDescent="0.25">
      <c r="A28" t="s">
        <v>113</v>
      </c>
      <c r="B28" t="s">
        <v>114</v>
      </c>
      <c r="C28">
        <v>20</v>
      </c>
      <c r="D28" t="s">
        <v>59</v>
      </c>
      <c r="E28" cm="1">
        <f t="array" ref="E28">_xlfn.SWITCH(D28,"QPSK",0.1,"16QAM",0.25,"64QAM",0.5,"256QAM",0.8,"1024QAM",1,"")</f>
        <v>1</v>
      </c>
      <c r="F28" cm="1">
        <f t="array" ref="F28">_xlfn.SWITCH(D28,"QPSK",0.05,"16QAM",0.15,"64QAM",0.4,"256QAM",0.75,"1024QAM",1,"")</f>
        <v>1</v>
      </c>
      <c r="G28" t="s">
        <v>60</v>
      </c>
      <c r="H28">
        <v>8</v>
      </c>
      <c r="I28" t="s">
        <v>61</v>
      </c>
      <c r="J28">
        <v>2</v>
      </c>
      <c r="K28">
        <v>2</v>
      </c>
      <c r="L28" t="s">
        <v>62</v>
      </c>
      <c r="M28">
        <v>2</v>
      </c>
      <c r="N28">
        <v>0.47849999999999998</v>
      </c>
      <c r="O28">
        <v>0.47620000000000001</v>
      </c>
      <c r="P28">
        <v>5000</v>
      </c>
      <c r="Q28">
        <v>2140</v>
      </c>
      <c r="R28">
        <v>2860</v>
      </c>
      <c r="S28">
        <v>2.34</v>
      </c>
      <c r="T28">
        <v>1.34</v>
      </c>
      <c r="W28">
        <v>2138</v>
      </c>
      <c r="X28">
        <v>0</v>
      </c>
      <c r="Y28">
        <v>57.24</v>
      </c>
      <c r="Z28">
        <v>0.09</v>
      </c>
      <c r="AB28">
        <v>297160000</v>
      </c>
      <c r="AC28">
        <v>127065616</v>
      </c>
      <c r="AD28">
        <v>297160000</v>
      </c>
      <c r="AE28">
        <v>127065616</v>
      </c>
      <c r="AG28">
        <v>99.91</v>
      </c>
      <c r="AH28">
        <v>42.76</v>
      </c>
      <c r="AI28">
        <v>1</v>
      </c>
      <c r="AJ28">
        <v>2.336449</v>
      </c>
      <c r="AK28">
        <v>0.2036</v>
      </c>
      <c r="AL28">
        <v>25.41</v>
      </c>
      <c r="AM28">
        <v>25413</v>
      </c>
      <c r="AN28">
        <v>2.7151000000000001</v>
      </c>
      <c r="AO28">
        <v>30</v>
      </c>
      <c r="AP28">
        <v>21.87</v>
      </c>
      <c r="AQ28">
        <v>0.72</v>
      </c>
      <c r="AR28">
        <v>-5.98</v>
      </c>
      <c r="AS28">
        <v>1.95</v>
      </c>
      <c r="AT28">
        <v>25.78</v>
      </c>
      <c r="AU28">
        <v>6666.69</v>
      </c>
      <c r="AV28">
        <v>35.81</v>
      </c>
      <c r="AW28">
        <v>27.64</v>
      </c>
      <c r="AX28">
        <v>22.25</v>
      </c>
      <c r="AY28">
        <v>4.262168</v>
      </c>
      <c r="AZ28">
        <v>49.822116000000001</v>
      </c>
      <c r="BA28">
        <v>-27.531175999999999</v>
      </c>
      <c r="BB28">
        <v>-6.7506459999999997</v>
      </c>
      <c r="BC28">
        <v>27.531175999999999</v>
      </c>
      <c r="BD28">
        <v>9.2155000000000005</v>
      </c>
      <c r="BE28">
        <v>131.61815999999999</v>
      </c>
      <c r="BF28">
        <v>-21.147054000000001</v>
      </c>
      <c r="BG28">
        <v>1.9366460000000001</v>
      </c>
      <c r="BH28">
        <v>21.147054000000001</v>
      </c>
    </row>
    <row r="29" spans="1:60" x14ac:dyDescent="0.25">
      <c r="A29" t="s">
        <v>115</v>
      </c>
      <c r="B29" t="s">
        <v>116</v>
      </c>
      <c r="C29">
        <v>22</v>
      </c>
      <c r="D29" t="s">
        <v>59</v>
      </c>
      <c r="E29" cm="1">
        <f t="array" ref="E29">_xlfn.SWITCH(D29,"QPSK",0.1,"16QAM",0.25,"64QAM",0.5,"256QAM",0.8,"1024QAM",1,"")</f>
        <v>1</v>
      </c>
      <c r="F29" cm="1">
        <f t="array" ref="F29">_xlfn.SWITCH(D29,"QPSK",0.05,"16QAM",0.15,"64QAM",0.4,"256QAM",0.75,"1024QAM",1,"")</f>
        <v>1</v>
      </c>
      <c r="G29" t="s">
        <v>60</v>
      </c>
      <c r="H29">
        <v>1</v>
      </c>
      <c r="I29" t="s">
        <v>61</v>
      </c>
      <c r="J29">
        <v>2</v>
      </c>
      <c r="K29">
        <v>2</v>
      </c>
      <c r="L29" t="s">
        <v>62</v>
      </c>
      <c r="M29">
        <v>2</v>
      </c>
      <c r="N29">
        <v>0.47849999999999998</v>
      </c>
      <c r="O29">
        <v>0.47620000000000001</v>
      </c>
      <c r="P29">
        <v>5000</v>
      </c>
      <c r="Q29">
        <v>2328</v>
      </c>
      <c r="R29">
        <v>2672</v>
      </c>
      <c r="S29">
        <v>2.15</v>
      </c>
      <c r="T29">
        <v>1.1499999999999999</v>
      </c>
      <c r="W29">
        <v>2327</v>
      </c>
      <c r="X29">
        <v>0</v>
      </c>
      <c r="Y29">
        <v>53.46</v>
      </c>
      <c r="Z29">
        <v>0.04</v>
      </c>
      <c r="AB29">
        <v>297160000</v>
      </c>
      <c r="AC29">
        <v>138298264</v>
      </c>
      <c r="AD29">
        <v>297160000</v>
      </c>
      <c r="AE29">
        <v>138298264</v>
      </c>
      <c r="AG29">
        <v>99.96</v>
      </c>
      <c r="AH29">
        <v>46.54</v>
      </c>
      <c r="AI29">
        <v>1</v>
      </c>
      <c r="AJ29">
        <v>2.1477659999999998</v>
      </c>
      <c r="AK29">
        <v>0.22159999999999999</v>
      </c>
      <c r="AL29">
        <v>27.66</v>
      </c>
      <c r="AM29">
        <v>27660</v>
      </c>
      <c r="AN29">
        <v>2.9550999999999998</v>
      </c>
      <c r="AO29">
        <v>30</v>
      </c>
      <c r="AP29">
        <v>21.87</v>
      </c>
      <c r="AQ29">
        <v>0.72</v>
      </c>
      <c r="AR29">
        <v>-5.98</v>
      </c>
      <c r="AS29">
        <v>1.96</v>
      </c>
      <c r="AT29">
        <v>28.38</v>
      </c>
      <c r="AU29">
        <v>6666.69</v>
      </c>
      <c r="AV29">
        <v>35.81</v>
      </c>
      <c r="AW29">
        <v>28.24</v>
      </c>
      <c r="AX29">
        <v>22.95</v>
      </c>
      <c r="AY29">
        <v>3.9371480000000001</v>
      </c>
      <c r="AZ29">
        <v>42.793320000000001</v>
      </c>
      <c r="BA29">
        <v>-28.187110000000001</v>
      </c>
      <c r="BB29">
        <v>-8.1152479999999994</v>
      </c>
      <c r="BC29">
        <v>28.187110000000001</v>
      </c>
      <c r="BD29">
        <v>8.1326540000000005</v>
      </c>
      <c r="BE29">
        <v>122.206202</v>
      </c>
      <c r="BF29">
        <v>-22.247119999999999</v>
      </c>
      <c r="BG29">
        <v>1.1940599999999999</v>
      </c>
      <c r="BH29">
        <v>22.247119999999999</v>
      </c>
    </row>
    <row r="30" spans="1:60" x14ac:dyDescent="0.25">
      <c r="A30" t="s">
        <v>117</v>
      </c>
      <c r="B30" t="s">
        <v>118</v>
      </c>
      <c r="C30">
        <v>22</v>
      </c>
      <c r="D30" t="s">
        <v>59</v>
      </c>
      <c r="E30" cm="1">
        <f t="array" ref="E30">_xlfn.SWITCH(D30,"QPSK",0.1,"16QAM",0.25,"64QAM",0.5,"256QAM",0.8,"1024QAM",1,"")</f>
        <v>1</v>
      </c>
      <c r="F30" cm="1">
        <f t="array" ref="F30">_xlfn.SWITCH(D30,"QPSK",0.05,"16QAM",0.15,"64QAM",0.4,"256QAM",0.75,"1024QAM",1,"")</f>
        <v>1</v>
      </c>
      <c r="G30" t="s">
        <v>60</v>
      </c>
      <c r="H30">
        <v>4</v>
      </c>
      <c r="I30" t="s">
        <v>61</v>
      </c>
      <c r="J30">
        <v>2</v>
      </c>
      <c r="K30">
        <v>2</v>
      </c>
      <c r="L30" t="s">
        <v>62</v>
      </c>
      <c r="M30">
        <v>2</v>
      </c>
      <c r="N30">
        <v>0.47849999999999998</v>
      </c>
      <c r="O30">
        <v>0.47620000000000001</v>
      </c>
      <c r="P30">
        <v>5000</v>
      </c>
      <c r="Q30">
        <v>2322</v>
      </c>
      <c r="R30">
        <v>2678</v>
      </c>
      <c r="S30">
        <v>2.15</v>
      </c>
      <c r="T30">
        <v>1.1499999999999999</v>
      </c>
      <c r="W30">
        <v>2321</v>
      </c>
      <c r="X30">
        <v>0</v>
      </c>
      <c r="Y30">
        <v>53.58</v>
      </c>
      <c r="Z30">
        <v>0.04</v>
      </c>
      <c r="AB30">
        <v>297160000</v>
      </c>
      <c r="AC30">
        <v>137941672</v>
      </c>
      <c r="AD30">
        <v>297160000</v>
      </c>
      <c r="AE30">
        <v>137941672</v>
      </c>
      <c r="AG30">
        <v>99.96</v>
      </c>
      <c r="AH30">
        <v>46.42</v>
      </c>
      <c r="AI30">
        <v>1</v>
      </c>
      <c r="AJ30">
        <v>2.1533159999999998</v>
      </c>
      <c r="AK30">
        <v>0.22109999999999999</v>
      </c>
      <c r="AL30">
        <v>27.59</v>
      </c>
      <c r="AM30">
        <v>27588</v>
      </c>
      <c r="AN30">
        <v>2.9474999999999998</v>
      </c>
      <c r="AO30">
        <v>30</v>
      </c>
      <c r="AP30">
        <v>21.87</v>
      </c>
      <c r="AQ30">
        <v>0.72</v>
      </c>
      <c r="AR30">
        <v>-5.98</v>
      </c>
      <c r="AS30">
        <v>1.96</v>
      </c>
      <c r="AT30">
        <v>29.09</v>
      </c>
      <c r="AU30">
        <v>6666.69</v>
      </c>
      <c r="AV30">
        <v>35.81</v>
      </c>
      <c r="AW30">
        <v>28.23</v>
      </c>
      <c r="AX30">
        <v>22.94</v>
      </c>
      <c r="AY30">
        <v>3.9398240000000002</v>
      </c>
      <c r="AZ30">
        <v>43.065697999999998</v>
      </c>
      <c r="BA30">
        <v>-28.182378</v>
      </c>
      <c r="BB30">
        <v>-8.0587079999999993</v>
      </c>
      <c r="BC30">
        <v>28.182378</v>
      </c>
      <c r="BD30">
        <v>8.1395800000000005</v>
      </c>
      <c r="BE30">
        <v>122.460638</v>
      </c>
      <c r="BF30">
        <v>-22.241731999999999</v>
      </c>
      <c r="BG30">
        <v>1.213662</v>
      </c>
      <c r="BH30">
        <v>22.241731999999999</v>
      </c>
    </row>
    <row r="31" spans="1:60" x14ac:dyDescent="0.25">
      <c r="A31" t="s">
        <v>119</v>
      </c>
      <c r="B31" t="s">
        <v>120</v>
      </c>
      <c r="C31">
        <v>22</v>
      </c>
      <c r="D31" t="s">
        <v>59</v>
      </c>
      <c r="E31" cm="1">
        <f t="array" ref="E31">_xlfn.SWITCH(D31,"QPSK",0.1,"16QAM",0.25,"64QAM",0.5,"256QAM",0.8,"1024QAM",1,"")</f>
        <v>1</v>
      </c>
      <c r="F31" cm="1">
        <f t="array" ref="F31">_xlfn.SWITCH(D31,"QPSK",0.05,"16QAM",0.15,"64QAM",0.4,"256QAM",0.75,"1024QAM",1,"")</f>
        <v>1</v>
      </c>
      <c r="G31" t="s">
        <v>60</v>
      </c>
      <c r="H31">
        <v>8</v>
      </c>
      <c r="I31" t="s">
        <v>61</v>
      </c>
      <c r="J31">
        <v>2</v>
      </c>
      <c r="K31">
        <v>2</v>
      </c>
      <c r="L31" t="s">
        <v>62</v>
      </c>
      <c r="M31">
        <v>2</v>
      </c>
      <c r="N31">
        <v>0.47849999999999998</v>
      </c>
      <c r="O31">
        <v>0.47620000000000001</v>
      </c>
      <c r="P31">
        <v>5000</v>
      </c>
      <c r="Q31">
        <v>2327</v>
      </c>
      <c r="R31">
        <v>2673</v>
      </c>
      <c r="S31">
        <v>2.15</v>
      </c>
      <c r="T31">
        <v>1.1499999999999999</v>
      </c>
      <c r="W31">
        <v>2324</v>
      </c>
      <c r="X31">
        <v>0</v>
      </c>
      <c r="Y31">
        <v>53.52</v>
      </c>
      <c r="Z31">
        <v>0.13</v>
      </c>
      <c r="AB31">
        <v>297160000</v>
      </c>
      <c r="AC31">
        <v>138119968</v>
      </c>
      <c r="AD31">
        <v>297160000</v>
      </c>
      <c r="AE31">
        <v>138119968</v>
      </c>
      <c r="AG31">
        <v>99.87</v>
      </c>
      <c r="AH31">
        <v>46.48</v>
      </c>
      <c r="AI31">
        <v>1</v>
      </c>
      <c r="AJ31">
        <v>2.1486890000000001</v>
      </c>
      <c r="AK31">
        <v>0.2213</v>
      </c>
      <c r="AL31">
        <v>27.62</v>
      </c>
      <c r="AM31">
        <v>27624</v>
      </c>
      <c r="AN31">
        <v>2.9512999999999998</v>
      </c>
      <c r="AO31">
        <v>30</v>
      </c>
      <c r="AP31">
        <v>21.87</v>
      </c>
      <c r="AQ31">
        <v>0.72</v>
      </c>
      <c r="AR31">
        <v>-5.98</v>
      </c>
      <c r="AS31">
        <v>1.96</v>
      </c>
      <c r="AT31">
        <v>28.61</v>
      </c>
      <c r="AU31">
        <v>6666.69</v>
      </c>
      <c r="AV31">
        <v>35.81</v>
      </c>
      <c r="AW31">
        <v>28.23</v>
      </c>
      <c r="AX31">
        <v>22.96</v>
      </c>
      <c r="AY31">
        <v>3.9438240000000002</v>
      </c>
      <c r="AZ31">
        <v>42.958911999999998</v>
      </c>
      <c r="BA31">
        <v>-28.175488000000001</v>
      </c>
      <c r="BB31">
        <v>-8.0729059999999997</v>
      </c>
      <c r="BC31">
        <v>28.175488000000001</v>
      </c>
      <c r="BD31">
        <v>8.1340760000000003</v>
      </c>
      <c r="BE31">
        <v>121.67693</v>
      </c>
      <c r="BF31">
        <v>-22.246123999999998</v>
      </c>
      <c r="BG31">
        <v>1.1621220000000001</v>
      </c>
      <c r="BH31">
        <v>22.246123999999998</v>
      </c>
    </row>
    <row r="32" spans="1:60" x14ac:dyDescent="0.25">
      <c r="A32" t="s">
        <v>121</v>
      </c>
      <c r="B32" t="s">
        <v>122</v>
      </c>
      <c r="C32">
        <v>24</v>
      </c>
      <c r="D32" t="s">
        <v>59</v>
      </c>
      <c r="E32" cm="1">
        <f t="array" ref="E32">_xlfn.SWITCH(D32,"QPSK",0.1,"16QAM",0.25,"64QAM",0.5,"256QAM",0.8,"1024QAM",1,"")</f>
        <v>1</v>
      </c>
      <c r="F32" cm="1">
        <f t="array" ref="F32">_xlfn.SWITCH(D32,"QPSK",0.05,"16QAM",0.15,"64QAM",0.4,"256QAM",0.75,"1024QAM",1,"")</f>
        <v>1</v>
      </c>
      <c r="G32" t="s">
        <v>60</v>
      </c>
      <c r="H32">
        <v>1</v>
      </c>
      <c r="I32" t="s">
        <v>61</v>
      </c>
      <c r="J32">
        <v>2</v>
      </c>
      <c r="K32">
        <v>2</v>
      </c>
      <c r="L32" t="s">
        <v>62</v>
      </c>
      <c r="M32">
        <v>2</v>
      </c>
      <c r="N32">
        <v>0.47849999999999998</v>
      </c>
      <c r="O32">
        <v>0.47620000000000001</v>
      </c>
      <c r="P32">
        <v>5000</v>
      </c>
      <c r="Q32">
        <v>2468</v>
      </c>
      <c r="R32">
        <v>2532</v>
      </c>
      <c r="S32">
        <v>2.0299999999999998</v>
      </c>
      <c r="T32">
        <v>1.03</v>
      </c>
      <c r="W32">
        <v>2468</v>
      </c>
      <c r="X32">
        <v>0</v>
      </c>
      <c r="Y32">
        <v>50.64</v>
      </c>
      <c r="Z32">
        <v>0</v>
      </c>
      <c r="AB32">
        <v>297160000</v>
      </c>
      <c r="AC32">
        <v>146678176</v>
      </c>
      <c r="AD32">
        <v>297160000</v>
      </c>
      <c r="AE32">
        <v>146678176</v>
      </c>
      <c r="AG32">
        <v>100</v>
      </c>
      <c r="AH32">
        <v>49.36</v>
      </c>
      <c r="AI32">
        <v>1</v>
      </c>
      <c r="AJ32">
        <v>2.0259320000000001</v>
      </c>
      <c r="AK32">
        <v>0.2351</v>
      </c>
      <c r="AL32">
        <v>29.34</v>
      </c>
      <c r="AM32">
        <v>29336</v>
      </c>
      <c r="AN32">
        <v>3.1341000000000001</v>
      </c>
      <c r="AO32">
        <v>30</v>
      </c>
      <c r="AP32">
        <v>21.87</v>
      </c>
      <c r="AQ32">
        <v>0.72</v>
      </c>
      <c r="AR32">
        <v>-5.99</v>
      </c>
      <c r="AS32">
        <v>1.96</v>
      </c>
      <c r="AT32">
        <v>32.17</v>
      </c>
      <c r="AU32">
        <v>6666.69</v>
      </c>
      <c r="AV32">
        <v>35.81</v>
      </c>
      <c r="AW32">
        <v>28.73</v>
      </c>
      <c r="AX32">
        <v>23.68</v>
      </c>
      <c r="AY32">
        <v>3.7020460000000002</v>
      </c>
      <c r="AZ32">
        <v>37.742123999999997</v>
      </c>
      <c r="BA32">
        <v>-28.701951999999999</v>
      </c>
      <c r="BB32">
        <v>-9.2911979999999996</v>
      </c>
      <c r="BC32">
        <v>28.701951999999999</v>
      </c>
      <c r="BD32">
        <v>7.2215199999999999</v>
      </c>
      <c r="BE32">
        <v>113.347992</v>
      </c>
      <c r="BF32">
        <v>-23.24532</v>
      </c>
      <c r="BG32">
        <v>0.45168799999999998</v>
      </c>
      <c r="BH32">
        <v>23.24532</v>
      </c>
    </row>
    <row r="33" spans="1:60" x14ac:dyDescent="0.25">
      <c r="A33" t="s">
        <v>123</v>
      </c>
      <c r="B33" t="s">
        <v>124</v>
      </c>
      <c r="C33">
        <v>24</v>
      </c>
      <c r="D33" t="s">
        <v>59</v>
      </c>
      <c r="E33" cm="1">
        <f t="array" ref="E33">_xlfn.SWITCH(D33,"QPSK",0.1,"16QAM",0.25,"64QAM",0.5,"256QAM",0.8,"1024QAM",1,"")</f>
        <v>1</v>
      </c>
      <c r="F33" cm="1">
        <f t="array" ref="F33">_xlfn.SWITCH(D33,"QPSK",0.05,"16QAM",0.15,"64QAM",0.4,"256QAM",0.75,"1024QAM",1,"")</f>
        <v>1</v>
      </c>
      <c r="G33" t="s">
        <v>60</v>
      </c>
      <c r="H33">
        <v>4</v>
      </c>
      <c r="I33" t="s">
        <v>61</v>
      </c>
      <c r="J33">
        <v>2</v>
      </c>
      <c r="K33">
        <v>2</v>
      </c>
      <c r="L33" t="s">
        <v>62</v>
      </c>
      <c r="M33">
        <v>2</v>
      </c>
      <c r="N33">
        <v>0.47849999999999998</v>
      </c>
      <c r="O33">
        <v>0.47620000000000001</v>
      </c>
      <c r="P33">
        <v>5000</v>
      </c>
      <c r="Q33">
        <v>2463</v>
      </c>
      <c r="R33">
        <v>2537</v>
      </c>
      <c r="S33">
        <v>2.0299999999999998</v>
      </c>
      <c r="T33">
        <v>1.03</v>
      </c>
      <c r="W33">
        <v>2461</v>
      </c>
      <c r="X33">
        <v>0</v>
      </c>
      <c r="Y33">
        <v>50.78</v>
      </c>
      <c r="Z33">
        <v>0.08</v>
      </c>
      <c r="AB33">
        <v>297160000</v>
      </c>
      <c r="AC33">
        <v>146262152</v>
      </c>
      <c r="AD33">
        <v>297160000</v>
      </c>
      <c r="AE33">
        <v>146262152</v>
      </c>
      <c r="AG33">
        <v>99.92</v>
      </c>
      <c r="AH33">
        <v>49.22</v>
      </c>
      <c r="AI33">
        <v>1</v>
      </c>
      <c r="AJ33">
        <v>2.0300449999999999</v>
      </c>
      <c r="AK33">
        <v>0.2344</v>
      </c>
      <c r="AL33">
        <v>29.25</v>
      </c>
      <c r="AM33">
        <v>29252</v>
      </c>
      <c r="AN33">
        <v>3.1253000000000002</v>
      </c>
      <c r="AO33">
        <v>30</v>
      </c>
      <c r="AP33">
        <v>21.87</v>
      </c>
      <c r="AQ33">
        <v>0.72</v>
      </c>
      <c r="AR33">
        <v>-5.99</v>
      </c>
      <c r="AS33">
        <v>1.96</v>
      </c>
      <c r="AT33">
        <v>32.299999999999997</v>
      </c>
      <c r="AU33">
        <v>6666.69</v>
      </c>
      <c r="AV33">
        <v>35.81</v>
      </c>
      <c r="AW33">
        <v>28.73</v>
      </c>
      <c r="AX33">
        <v>23.66</v>
      </c>
      <c r="AY33">
        <v>3.7031239999999999</v>
      </c>
      <c r="AZ33">
        <v>37.838168000000003</v>
      </c>
      <c r="BA33">
        <v>-28.698402000000002</v>
      </c>
      <c r="BB33">
        <v>-9.2382559999999998</v>
      </c>
      <c r="BC33">
        <v>28.698402000000002</v>
      </c>
      <c r="BD33">
        <v>7.2338620000000002</v>
      </c>
      <c r="BE33">
        <v>113.97523200000001</v>
      </c>
      <c r="BF33">
        <v>-23.231372</v>
      </c>
      <c r="BG33">
        <v>0.49320599999999998</v>
      </c>
      <c r="BH33">
        <v>23.231372</v>
      </c>
    </row>
    <row r="34" spans="1:60" x14ac:dyDescent="0.25">
      <c r="A34" t="s">
        <v>125</v>
      </c>
      <c r="B34" t="s">
        <v>126</v>
      </c>
      <c r="C34">
        <v>24</v>
      </c>
      <c r="D34" t="s">
        <v>59</v>
      </c>
      <c r="E34" cm="1">
        <f t="array" ref="E34">_xlfn.SWITCH(D34,"QPSK",0.1,"16QAM",0.25,"64QAM",0.5,"256QAM",0.8,"1024QAM",1,"")</f>
        <v>1</v>
      </c>
      <c r="F34" cm="1">
        <f t="array" ref="F34">_xlfn.SWITCH(D34,"QPSK",0.05,"16QAM",0.15,"64QAM",0.4,"256QAM",0.75,"1024QAM",1,"")</f>
        <v>1</v>
      </c>
      <c r="G34" t="s">
        <v>60</v>
      </c>
      <c r="H34">
        <v>8</v>
      </c>
      <c r="I34" t="s">
        <v>61</v>
      </c>
      <c r="J34">
        <v>2</v>
      </c>
      <c r="K34">
        <v>2</v>
      </c>
      <c r="L34" t="s">
        <v>62</v>
      </c>
      <c r="M34">
        <v>2</v>
      </c>
      <c r="N34">
        <v>0.47849999999999998</v>
      </c>
      <c r="O34">
        <v>0.47620000000000001</v>
      </c>
      <c r="P34">
        <v>5000</v>
      </c>
      <c r="Q34">
        <v>2464</v>
      </c>
      <c r="R34">
        <v>2536</v>
      </c>
      <c r="S34">
        <v>2.0299999999999998</v>
      </c>
      <c r="T34">
        <v>1.03</v>
      </c>
      <c r="W34">
        <v>2459</v>
      </c>
      <c r="X34">
        <v>0</v>
      </c>
      <c r="Y34">
        <v>50.82</v>
      </c>
      <c r="Z34">
        <v>0.2</v>
      </c>
      <c r="AB34">
        <v>297160000</v>
      </c>
      <c r="AC34">
        <v>146143288</v>
      </c>
      <c r="AD34">
        <v>297160000</v>
      </c>
      <c r="AE34">
        <v>146143288</v>
      </c>
      <c r="AG34">
        <v>99.8</v>
      </c>
      <c r="AH34">
        <v>49.18</v>
      </c>
      <c r="AI34">
        <v>1</v>
      </c>
      <c r="AJ34">
        <v>2.0292210000000002</v>
      </c>
      <c r="AK34">
        <v>0.23419999999999999</v>
      </c>
      <c r="AL34">
        <v>29.23</v>
      </c>
      <c r="AM34">
        <v>29229</v>
      </c>
      <c r="AN34">
        <v>3.1227</v>
      </c>
      <c r="AO34">
        <v>30</v>
      </c>
      <c r="AP34">
        <v>21.87</v>
      </c>
      <c r="AQ34">
        <v>0.72</v>
      </c>
      <c r="AR34">
        <v>-5.99</v>
      </c>
      <c r="AS34">
        <v>1.96</v>
      </c>
      <c r="AT34">
        <v>32.369999999999997</v>
      </c>
      <c r="AU34">
        <v>6666.69</v>
      </c>
      <c r="AV34">
        <v>35.81</v>
      </c>
      <c r="AW34">
        <v>28.73</v>
      </c>
      <c r="AX34">
        <v>23.68</v>
      </c>
      <c r="AY34">
        <v>3.7001460000000002</v>
      </c>
      <c r="AZ34">
        <v>37.805664</v>
      </c>
      <c r="BA34">
        <v>-28.705604000000001</v>
      </c>
      <c r="BB34">
        <v>-9.2453880000000002</v>
      </c>
      <c r="BC34">
        <v>28.705604000000001</v>
      </c>
      <c r="BD34">
        <v>7.222162</v>
      </c>
      <c r="BE34">
        <v>113.500384</v>
      </c>
      <c r="BF34">
        <v>-23.243463999999999</v>
      </c>
      <c r="BG34">
        <v>0.47659600000000002</v>
      </c>
      <c r="BH34">
        <v>23.243463999999999</v>
      </c>
    </row>
    <row r="35" spans="1:60" x14ac:dyDescent="0.25">
      <c r="A35" t="s">
        <v>127</v>
      </c>
      <c r="B35" t="s">
        <v>128</v>
      </c>
      <c r="C35">
        <v>4</v>
      </c>
      <c r="D35" t="s">
        <v>59</v>
      </c>
      <c r="E35" cm="1">
        <f t="array" ref="E35">_xlfn.SWITCH(D35,"QPSK",0.1,"16QAM",0.25,"64QAM",0.5,"256QAM",0.8,"1024QAM",1,"")</f>
        <v>1</v>
      </c>
      <c r="F35" cm="1">
        <f t="array" ref="F35">_xlfn.SWITCH(D35,"QPSK",0.05,"16QAM",0.15,"64QAM",0.4,"256QAM",0.75,"1024QAM",1,"")</f>
        <v>1</v>
      </c>
      <c r="G35" t="s">
        <v>60</v>
      </c>
      <c r="H35">
        <v>1</v>
      </c>
      <c r="I35" t="s">
        <v>61</v>
      </c>
      <c r="J35">
        <v>2</v>
      </c>
      <c r="K35">
        <v>2</v>
      </c>
      <c r="L35" t="s">
        <v>62</v>
      </c>
      <c r="M35">
        <v>2</v>
      </c>
      <c r="N35">
        <v>0.47849999999999998</v>
      </c>
      <c r="O35">
        <v>0.47620000000000001</v>
      </c>
      <c r="P35">
        <v>5000</v>
      </c>
      <c r="Q35">
        <v>1250</v>
      </c>
      <c r="R35">
        <v>3750</v>
      </c>
      <c r="S35">
        <v>4</v>
      </c>
      <c r="T35">
        <v>3</v>
      </c>
      <c r="W35">
        <v>20</v>
      </c>
      <c r="X35">
        <v>0</v>
      </c>
      <c r="Y35">
        <v>99.6</v>
      </c>
      <c r="Z35">
        <v>98.4</v>
      </c>
      <c r="AB35">
        <v>297160000</v>
      </c>
      <c r="AC35">
        <v>1188640</v>
      </c>
      <c r="AD35">
        <v>297160000</v>
      </c>
      <c r="AE35">
        <v>1188640</v>
      </c>
      <c r="AG35">
        <v>1.6</v>
      </c>
      <c r="AH35">
        <v>0.4</v>
      </c>
      <c r="AI35">
        <v>1</v>
      </c>
      <c r="AJ35">
        <v>4</v>
      </c>
      <c r="AK35">
        <v>1.9E-3</v>
      </c>
      <c r="AL35">
        <v>0.24</v>
      </c>
      <c r="AM35">
        <v>238</v>
      </c>
      <c r="AN35">
        <v>2.5399999999999999E-2</v>
      </c>
      <c r="AO35">
        <v>30</v>
      </c>
      <c r="AP35">
        <v>21.87</v>
      </c>
      <c r="AQ35">
        <v>0.72</v>
      </c>
      <c r="AR35">
        <v>-5.9</v>
      </c>
      <c r="AS35">
        <v>1.92</v>
      </c>
      <c r="AT35">
        <v>16.22</v>
      </c>
      <c r="AU35">
        <v>6666.69</v>
      </c>
      <c r="AV35">
        <v>35.81</v>
      </c>
      <c r="AW35">
        <v>23.64</v>
      </c>
      <c r="AX35">
        <v>23.51</v>
      </c>
      <c r="AY35">
        <v>10.825761999999999</v>
      </c>
      <c r="AZ35">
        <v>104.477744</v>
      </c>
      <c r="BA35">
        <v>-19.471012000000002</v>
      </c>
      <c r="BB35">
        <v>0.18565000000000001</v>
      </c>
      <c r="BC35">
        <v>19.471012000000002</v>
      </c>
      <c r="BD35">
        <v>19.956081999999999</v>
      </c>
      <c r="BE35">
        <v>198.576346</v>
      </c>
      <c r="BF35">
        <v>-14.197978000000001</v>
      </c>
      <c r="BG35">
        <v>5.6350280000000001</v>
      </c>
      <c r="BH35">
        <v>14.197978000000001</v>
      </c>
    </row>
    <row r="36" spans="1:60" x14ac:dyDescent="0.25">
      <c r="A36" t="s">
        <v>129</v>
      </c>
      <c r="B36" t="s">
        <v>130</v>
      </c>
      <c r="C36">
        <v>4</v>
      </c>
      <c r="D36" t="s">
        <v>59</v>
      </c>
      <c r="E36" cm="1">
        <f t="array" ref="E36">_xlfn.SWITCH(D36,"QPSK",0.1,"16QAM",0.25,"64QAM",0.5,"256QAM",0.8,"1024QAM",1,"")</f>
        <v>1</v>
      </c>
      <c r="F36" cm="1">
        <f t="array" ref="F36">_xlfn.SWITCH(D36,"QPSK",0.05,"16QAM",0.15,"64QAM",0.4,"256QAM",0.75,"1024QAM",1,"")</f>
        <v>1</v>
      </c>
      <c r="G36" t="s">
        <v>60</v>
      </c>
      <c r="H36">
        <v>4</v>
      </c>
      <c r="I36" t="s">
        <v>61</v>
      </c>
      <c r="J36">
        <v>2</v>
      </c>
      <c r="K36">
        <v>2</v>
      </c>
      <c r="L36" t="s">
        <v>62</v>
      </c>
      <c r="M36">
        <v>2</v>
      </c>
      <c r="N36">
        <v>0.47849999999999998</v>
      </c>
      <c r="O36">
        <v>0.47620000000000001</v>
      </c>
      <c r="P36">
        <v>5000</v>
      </c>
      <c r="Q36">
        <v>1252</v>
      </c>
      <c r="R36">
        <v>3748</v>
      </c>
      <c r="S36">
        <v>3.99</v>
      </c>
      <c r="T36">
        <v>2.99</v>
      </c>
      <c r="W36">
        <v>19</v>
      </c>
      <c r="X36">
        <v>0</v>
      </c>
      <c r="Y36">
        <v>99.62</v>
      </c>
      <c r="Z36">
        <v>98.48</v>
      </c>
      <c r="AB36">
        <v>297160000</v>
      </c>
      <c r="AC36">
        <v>1129208</v>
      </c>
      <c r="AD36">
        <v>297160000</v>
      </c>
      <c r="AE36">
        <v>1129208</v>
      </c>
      <c r="AG36">
        <v>1.52</v>
      </c>
      <c r="AH36">
        <v>0.38</v>
      </c>
      <c r="AI36">
        <v>1</v>
      </c>
      <c r="AJ36">
        <v>3.9936099999999999</v>
      </c>
      <c r="AK36">
        <v>1.8E-3</v>
      </c>
      <c r="AL36">
        <v>0.23</v>
      </c>
      <c r="AM36">
        <v>226</v>
      </c>
      <c r="AN36">
        <v>2.41E-2</v>
      </c>
      <c r="AO36">
        <v>30</v>
      </c>
      <c r="AP36">
        <v>21.87</v>
      </c>
      <c r="AQ36">
        <v>0.72</v>
      </c>
      <c r="AR36">
        <v>-5.89</v>
      </c>
      <c r="AS36">
        <v>1.92</v>
      </c>
      <c r="AT36">
        <v>16.100000000000001</v>
      </c>
      <c r="AU36">
        <v>6666.69</v>
      </c>
      <c r="AV36">
        <v>35.81</v>
      </c>
      <c r="AW36">
        <v>23.65</v>
      </c>
      <c r="AX36">
        <v>23.52</v>
      </c>
      <c r="AY36">
        <v>10.81659</v>
      </c>
      <c r="AZ36">
        <v>104.333698</v>
      </c>
      <c r="BA36">
        <v>-19.477409999999999</v>
      </c>
      <c r="BB36">
        <v>0.17319399999999999</v>
      </c>
      <c r="BC36">
        <v>19.477409999999999</v>
      </c>
      <c r="BD36">
        <v>19.92989</v>
      </c>
      <c r="BE36">
        <v>196.679394</v>
      </c>
      <c r="BF36">
        <v>-14.207262</v>
      </c>
      <c r="BG36">
        <v>5.5672379999999997</v>
      </c>
      <c r="BH36">
        <v>14.207262</v>
      </c>
    </row>
    <row r="37" spans="1:60" x14ac:dyDescent="0.25">
      <c r="A37" t="s">
        <v>131</v>
      </c>
      <c r="B37" t="s">
        <v>132</v>
      </c>
      <c r="C37">
        <v>4</v>
      </c>
      <c r="D37" t="s">
        <v>59</v>
      </c>
      <c r="E37" cm="1">
        <f t="array" ref="E37">_xlfn.SWITCH(D37,"QPSK",0.1,"16QAM",0.25,"64QAM",0.5,"256QAM",0.8,"1024QAM",1,"")</f>
        <v>1</v>
      </c>
      <c r="F37" cm="1">
        <f t="array" ref="F37">_xlfn.SWITCH(D37,"QPSK",0.05,"16QAM",0.15,"64QAM",0.4,"256QAM",0.75,"1024QAM",1,"")</f>
        <v>1</v>
      </c>
      <c r="G37" t="s">
        <v>60</v>
      </c>
      <c r="H37">
        <v>8</v>
      </c>
      <c r="I37" t="s">
        <v>61</v>
      </c>
      <c r="J37">
        <v>2</v>
      </c>
      <c r="K37">
        <v>2</v>
      </c>
      <c r="L37" t="s">
        <v>62</v>
      </c>
      <c r="M37">
        <v>2</v>
      </c>
      <c r="N37">
        <v>0.47849999999999998</v>
      </c>
      <c r="O37">
        <v>0.47620000000000001</v>
      </c>
      <c r="P37">
        <v>5000</v>
      </c>
      <c r="Q37">
        <v>1256</v>
      </c>
      <c r="R37">
        <v>3744</v>
      </c>
      <c r="S37">
        <v>3.98</v>
      </c>
      <c r="T37">
        <v>2.98</v>
      </c>
      <c r="W37">
        <v>15</v>
      </c>
      <c r="X37">
        <v>0</v>
      </c>
      <c r="Y37">
        <v>99.7</v>
      </c>
      <c r="Z37">
        <v>98.81</v>
      </c>
      <c r="AB37">
        <v>297160000</v>
      </c>
      <c r="AC37">
        <v>891480</v>
      </c>
      <c r="AD37">
        <v>297160000</v>
      </c>
      <c r="AE37">
        <v>891480</v>
      </c>
      <c r="AG37">
        <v>1.19</v>
      </c>
      <c r="AH37">
        <v>0.3</v>
      </c>
      <c r="AI37">
        <v>1</v>
      </c>
      <c r="AJ37">
        <v>3.9808919999999999</v>
      </c>
      <c r="AK37">
        <v>1.4E-3</v>
      </c>
      <c r="AL37">
        <v>0.18</v>
      </c>
      <c r="AM37">
        <v>178</v>
      </c>
      <c r="AN37">
        <v>1.9E-2</v>
      </c>
      <c r="AO37">
        <v>30</v>
      </c>
      <c r="AP37">
        <v>21.87</v>
      </c>
      <c r="AQ37">
        <v>0.72</v>
      </c>
      <c r="AR37">
        <v>-5.89</v>
      </c>
      <c r="AS37">
        <v>1.92</v>
      </c>
      <c r="AT37">
        <v>16.23</v>
      </c>
      <c r="AU37">
        <v>6666.69</v>
      </c>
      <c r="AV37">
        <v>35.81</v>
      </c>
      <c r="AW37">
        <v>23.65</v>
      </c>
      <c r="AX37">
        <v>23.51</v>
      </c>
      <c r="AY37">
        <v>10.812212000000001</v>
      </c>
      <c r="AZ37">
        <v>104.371472</v>
      </c>
      <c r="BA37">
        <v>-19.481068</v>
      </c>
      <c r="BB37">
        <v>0.17335999999999999</v>
      </c>
      <c r="BC37">
        <v>19.481068</v>
      </c>
      <c r="BD37">
        <v>19.936409999999999</v>
      </c>
      <c r="BE37">
        <v>197.91041999999999</v>
      </c>
      <c r="BF37">
        <v>-14.205728000000001</v>
      </c>
      <c r="BG37">
        <v>5.6129119999999997</v>
      </c>
      <c r="BH37">
        <v>14.205728000000001</v>
      </c>
    </row>
    <row r="38" spans="1:60" x14ac:dyDescent="0.25">
      <c r="A38" t="s">
        <v>133</v>
      </c>
      <c r="B38" t="s">
        <v>134</v>
      </c>
      <c r="C38">
        <v>6</v>
      </c>
      <c r="D38" t="s">
        <v>59</v>
      </c>
      <c r="E38" cm="1">
        <f t="array" ref="E38">_xlfn.SWITCH(D38,"QPSK",0.1,"16QAM",0.25,"64QAM",0.5,"256QAM",0.8,"1024QAM",1,"")</f>
        <v>1</v>
      </c>
      <c r="F38" cm="1">
        <f t="array" ref="F38">_xlfn.SWITCH(D38,"QPSK",0.05,"16QAM",0.15,"64QAM",0.4,"256QAM",0.75,"1024QAM",1,"")</f>
        <v>1</v>
      </c>
      <c r="G38" t="s">
        <v>60</v>
      </c>
      <c r="H38">
        <v>1</v>
      </c>
      <c r="I38" t="s">
        <v>61</v>
      </c>
      <c r="J38">
        <v>2</v>
      </c>
      <c r="K38">
        <v>2</v>
      </c>
      <c r="L38" t="s">
        <v>62</v>
      </c>
      <c r="M38">
        <v>2</v>
      </c>
      <c r="N38">
        <v>0.47849999999999998</v>
      </c>
      <c r="O38">
        <v>0.47620000000000001</v>
      </c>
      <c r="P38">
        <v>5000</v>
      </c>
      <c r="Q38">
        <v>1250</v>
      </c>
      <c r="R38">
        <v>3750</v>
      </c>
      <c r="S38">
        <v>4</v>
      </c>
      <c r="T38">
        <v>3</v>
      </c>
      <c r="W38">
        <v>111</v>
      </c>
      <c r="X38">
        <v>0</v>
      </c>
      <c r="Y38">
        <v>97.78</v>
      </c>
      <c r="Z38">
        <v>91.12</v>
      </c>
      <c r="AB38">
        <v>297160000</v>
      </c>
      <c r="AC38">
        <v>6596952</v>
      </c>
      <c r="AD38">
        <v>297160000</v>
      </c>
      <c r="AE38">
        <v>6596952</v>
      </c>
      <c r="AG38">
        <v>8.8800000000000008</v>
      </c>
      <c r="AH38">
        <v>2.2200000000000002</v>
      </c>
      <c r="AI38">
        <v>1</v>
      </c>
      <c r="AJ38">
        <v>4</v>
      </c>
      <c r="AK38">
        <v>1.06E-2</v>
      </c>
      <c r="AL38">
        <v>1.32</v>
      </c>
      <c r="AM38">
        <v>1319</v>
      </c>
      <c r="AN38">
        <v>0.14099999999999999</v>
      </c>
      <c r="AO38">
        <v>30</v>
      </c>
      <c r="AP38">
        <v>21.87</v>
      </c>
      <c r="AQ38">
        <v>0.72</v>
      </c>
      <c r="AR38">
        <v>-5.93</v>
      </c>
      <c r="AS38">
        <v>1.95</v>
      </c>
      <c r="AT38">
        <v>19.010000000000002</v>
      </c>
      <c r="AU38">
        <v>6666.69</v>
      </c>
      <c r="AV38">
        <v>35.81</v>
      </c>
      <c r="AW38">
        <v>23.89</v>
      </c>
      <c r="AX38">
        <v>23.5</v>
      </c>
      <c r="AY38">
        <v>9.2415839999999996</v>
      </c>
      <c r="AZ38">
        <v>90.501592000000002</v>
      </c>
      <c r="BA38">
        <v>-20.862672</v>
      </c>
      <c r="BB38">
        <v>-1.09751</v>
      </c>
      <c r="BC38">
        <v>20.862672</v>
      </c>
      <c r="BD38">
        <v>18.402443999999999</v>
      </c>
      <c r="BE38">
        <v>179.08732800000001</v>
      </c>
      <c r="BF38">
        <v>-14.949234000000001</v>
      </c>
      <c r="BG38">
        <v>4.7290179999999999</v>
      </c>
      <c r="BH38">
        <v>14.949234000000001</v>
      </c>
    </row>
    <row r="39" spans="1:60" x14ac:dyDescent="0.25">
      <c r="A39" t="s">
        <v>135</v>
      </c>
      <c r="B39" t="s">
        <v>136</v>
      </c>
      <c r="C39">
        <v>6</v>
      </c>
      <c r="D39" t="s">
        <v>59</v>
      </c>
      <c r="E39" cm="1">
        <f t="array" ref="E39">_xlfn.SWITCH(D39,"QPSK",0.1,"16QAM",0.25,"64QAM",0.5,"256QAM",0.8,"1024QAM",1,"")</f>
        <v>1</v>
      </c>
      <c r="F39" cm="1">
        <f t="array" ref="F39">_xlfn.SWITCH(D39,"QPSK",0.05,"16QAM",0.15,"64QAM",0.4,"256QAM",0.75,"1024QAM",1,"")</f>
        <v>1</v>
      </c>
      <c r="G39" t="s">
        <v>60</v>
      </c>
      <c r="H39">
        <v>4</v>
      </c>
      <c r="I39" t="s">
        <v>61</v>
      </c>
      <c r="J39">
        <v>2</v>
      </c>
      <c r="K39">
        <v>2</v>
      </c>
      <c r="L39" t="s">
        <v>62</v>
      </c>
      <c r="M39">
        <v>2</v>
      </c>
      <c r="N39">
        <v>0.47849999999999998</v>
      </c>
      <c r="O39">
        <v>0.47620000000000001</v>
      </c>
      <c r="P39">
        <v>5000</v>
      </c>
      <c r="Q39">
        <v>1252</v>
      </c>
      <c r="R39">
        <v>3748</v>
      </c>
      <c r="S39">
        <v>3.99</v>
      </c>
      <c r="T39">
        <v>2.99</v>
      </c>
      <c r="W39">
        <v>105</v>
      </c>
      <c r="X39">
        <v>0</v>
      </c>
      <c r="Y39">
        <v>97.9</v>
      </c>
      <c r="Z39">
        <v>91.61</v>
      </c>
      <c r="AB39">
        <v>297160000</v>
      </c>
      <c r="AC39">
        <v>6240360</v>
      </c>
      <c r="AD39">
        <v>297160000</v>
      </c>
      <c r="AE39">
        <v>6240360</v>
      </c>
      <c r="AG39">
        <v>8.39</v>
      </c>
      <c r="AH39">
        <v>2.1</v>
      </c>
      <c r="AI39">
        <v>1</v>
      </c>
      <c r="AJ39">
        <v>3.9936099999999999</v>
      </c>
      <c r="AK39">
        <v>0.01</v>
      </c>
      <c r="AL39">
        <v>1.25</v>
      </c>
      <c r="AM39">
        <v>1248</v>
      </c>
      <c r="AN39">
        <v>0.1333</v>
      </c>
      <c r="AO39">
        <v>30</v>
      </c>
      <c r="AP39">
        <v>21.87</v>
      </c>
      <c r="AQ39">
        <v>0.72</v>
      </c>
      <c r="AR39">
        <v>-5.93</v>
      </c>
      <c r="AS39">
        <v>1.95</v>
      </c>
      <c r="AT39">
        <v>19.32</v>
      </c>
      <c r="AU39">
        <v>6666.69</v>
      </c>
      <c r="AV39">
        <v>35.81</v>
      </c>
      <c r="AW39">
        <v>23.89</v>
      </c>
      <c r="AX39">
        <v>23.5</v>
      </c>
      <c r="AY39">
        <v>9.2430319999999995</v>
      </c>
      <c r="AZ39">
        <v>90.653295999999997</v>
      </c>
      <c r="BA39">
        <v>-20.860987999999999</v>
      </c>
      <c r="BB39">
        <v>-1.0849359999999999</v>
      </c>
      <c r="BC39">
        <v>20.860987999999999</v>
      </c>
      <c r="BD39">
        <v>18.399176000000001</v>
      </c>
      <c r="BE39">
        <v>179.24490599999999</v>
      </c>
      <c r="BF39">
        <v>-14.948536000000001</v>
      </c>
      <c r="BG39">
        <v>4.7376620000000003</v>
      </c>
      <c r="BH39">
        <v>14.948536000000001</v>
      </c>
    </row>
    <row r="40" spans="1:60" x14ac:dyDescent="0.25">
      <c r="A40" t="s">
        <v>137</v>
      </c>
      <c r="B40" t="s">
        <v>138</v>
      </c>
      <c r="C40">
        <v>6</v>
      </c>
      <c r="D40" t="s">
        <v>59</v>
      </c>
      <c r="E40" cm="1">
        <f t="array" ref="E40">_xlfn.SWITCH(D40,"QPSK",0.1,"16QAM",0.25,"64QAM",0.5,"256QAM",0.8,"1024QAM",1,"")</f>
        <v>1</v>
      </c>
      <c r="F40" cm="1">
        <f t="array" ref="F40">_xlfn.SWITCH(D40,"QPSK",0.05,"16QAM",0.15,"64QAM",0.4,"256QAM",0.75,"1024QAM",1,"")</f>
        <v>1</v>
      </c>
      <c r="G40" t="s">
        <v>60</v>
      </c>
      <c r="H40">
        <v>8</v>
      </c>
      <c r="I40" t="s">
        <v>61</v>
      </c>
      <c r="J40">
        <v>2</v>
      </c>
      <c r="K40">
        <v>2</v>
      </c>
      <c r="L40" t="s">
        <v>62</v>
      </c>
      <c r="M40">
        <v>2</v>
      </c>
      <c r="N40">
        <v>0.47849999999999998</v>
      </c>
      <c r="O40">
        <v>0.47620000000000001</v>
      </c>
      <c r="P40">
        <v>5000</v>
      </c>
      <c r="Q40">
        <v>1256</v>
      </c>
      <c r="R40">
        <v>3744</v>
      </c>
      <c r="S40">
        <v>3.98</v>
      </c>
      <c r="T40">
        <v>2.98</v>
      </c>
      <c r="W40">
        <v>75</v>
      </c>
      <c r="X40">
        <v>0</v>
      </c>
      <c r="Y40">
        <v>98.5</v>
      </c>
      <c r="Z40">
        <v>94.03</v>
      </c>
      <c r="AB40">
        <v>297160000</v>
      </c>
      <c r="AC40">
        <v>4457400</v>
      </c>
      <c r="AD40">
        <v>297160000</v>
      </c>
      <c r="AE40">
        <v>4457400</v>
      </c>
      <c r="AG40">
        <v>5.97</v>
      </c>
      <c r="AH40">
        <v>1.5</v>
      </c>
      <c r="AI40">
        <v>1</v>
      </c>
      <c r="AJ40">
        <v>3.9808919999999999</v>
      </c>
      <c r="AK40">
        <v>7.1000000000000004E-3</v>
      </c>
      <c r="AL40">
        <v>0.89</v>
      </c>
      <c r="AM40">
        <v>891</v>
      </c>
      <c r="AN40">
        <v>9.5200000000000007E-2</v>
      </c>
      <c r="AO40">
        <v>30</v>
      </c>
      <c r="AP40">
        <v>21.87</v>
      </c>
      <c r="AQ40">
        <v>0.72</v>
      </c>
      <c r="AR40">
        <v>-5.93</v>
      </c>
      <c r="AS40">
        <v>1.95</v>
      </c>
      <c r="AT40">
        <v>19.510000000000002</v>
      </c>
      <c r="AU40">
        <v>6666.69</v>
      </c>
      <c r="AV40">
        <v>35.81</v>
      </c>
      <c r="AW40">
        <v>23.89</v>
      </c>
      <c r="AX40">
        <v>23.49</v>
      </c>
      <c r="AY40">
        <v>9.2383260000000007</v>
      </c>
      <c r="AZ40">
        <v>90.828620000000001</v>
      </c>
      <c r="BA40">
        <v>-20.865306</v>
      </c>
      <c r="BB40">
        <v>-1.0686500000000001</v>
      </c>
      <c r="BC40">
        <v>20.865306</v>
      </c>
      <c r="BD40">
        <v>18.409338000000002</v>
      </c>
      <c r="BE40">
        <v>179.57666399999999</v>
      </c>
      <c r="BF40">
        <v>-14.94585</v>
      </c>
      <c r="BG40">
        <v>4.749072</v>
      </c>
      <c r="BH40">
        <v>14.94585</v>
      </c>
    </row>
    <row r="41" spans="1:60" x14ac:dyDescent="0.25">
      <c r="A41" t="s">
        <v>139</v>
      </c>
      <c r="B41" t="s">
        <v>140</v>
      </c>
      <c r="C41">
        <v>8</v>
      </c>
      <c r="D41" t="s">
        <v>59</v>
      </c>
      <c r="E41" cm="1">
        <f t="array" ref="E41">_xlfn.SWITCH(D41,"QPSK",0.1,"16QAM",0.25,"64QAM",0.5,"256QAM",0.8,"1024QAM",1,"")</f>
        <v>1</v>
      </c>
      <c r="F41" cm="1">
        <f t="array" ref="F41">_xlfn.SWITCH(D41,"QPSK",0.05,"16QAM",0.15,"64QAM",0.4,"256QAM",0.75,"1024QAM",1,"")</f>
        <v>1</v>
      </c>
      <c r="G41" t="s">
        <v>60</v>
      </c>
      <c r="H41">
        <v>1</v>
      </c>
      <c r="I41" t="s">
        <v>61</v>
      </c>
      <c r="J41">
        <v>2</v>
      </c>
      <c r="K41">
        <v>2</v>
      </c>
      <c r="L41" t="s">
        <v>62</v>
      </c>
      <c r="M41">
        <v>2</v>
      </c>
      <c r="N41">
        <v>0.47849999999999998</v>
      </c>
      <c r="O41">
        <v>0.47620000000000001</v>
      </c>
      <c r="P41">
        <v>5000</v>
      </c>
      <c r="Q41">
        <v>1251</v>
      </c>
      <c r="R41">
        <v>3749</v>
      </c>
      <c r="S41">
        <v>4</v>
      </c>
      <c r="T41">
        <v>3</v>
      </c>
      <c r="W41">
        <v>339</v>
      </c>
      <c r="X41">
        <v>0</v>
      </c>
      <c r="Y41">
        <v>93.22</v>
      </c>
      <c r="Z41">
        <v>72.900000000000006</v>
      </c>
      <c r="AB41">
        <v>297160000</v>
      </c>
      <c r="AC41">
        <v>20147448</v>
      </c>
      <c r="AD41">
        <v>297160000</v>
      </c>
      <c r="AE41">
        <v>20147448</v>
      </c>
      <c r="AG41">
        <v>27.1</v>
      </c>
      <c r="AH41">
        <v>6.78</v>
      </c>
      <c r="AI41">
        <v>1</v>
      </c>
      <c r="AJ41">
        <v>3.9968029999999999</v>
      </c>
      <c r="AK41">
        <v>3.2300000000000002E-2</v>
      </c>
      <c r="AL41">
        <v>4.03</v>
      </c>
      <c r="AM41">
        <v>4029</v>
      </c>
      <c r="AN41">
        <v>0.43049999999999999</v>
      </c>
      <c r="AO41">
        <v>30</v>
      </c>
      <c r="AP41">
        <v>21.87</v>
      </c>
      <c r="AQ41">
        <v>0.72</v>
      </c>
      <c r="AR41">
        <v>-5.94</v>
      </c>
      <c r="AS41">
        <v>1.97</v>
      </c>
      <c r="AT41">
        <v>21.53</v>
      </c>
      <c r="AU41">
        <v>6666.69</v>
      </c>
      <c r="AV41">
        <v>35.81</v>
      </c>
      <c r="AW41">
        <v>24.26</v>
      </c>
      <c r="AX41">
        <v>23.17</v>
      </c>
      <c r="AY41">
        <v>7.9917439999999997</v>
      </c>
      <c r="AZ41">
        <v>81.31456</v>
      </c>
      <c r="BA41">
        <v>-22.133282000000001</v>
      </c>
      <c r="BB41">
        <v>-2.1357719999999998</v>
      </c>
      <c r="BC41">
        <v>22.133282000000001</v>
      </c>
      <c r="BD41">
        <v>16.863294</v>
      </c>
      <c r="BE41">
        <v>164.895926</v>
      </c>
      <c r="BF41">
        <v>-15.731552000000001</v>
      </c>
      <c r="BG41">
        <v>4.0263600000000004</v>
      </c>
      <c r="BH41">
        <v>15.731552000000001</v>
      </c>
    </row>
    <row r="42" spans="1:60" x14ac:dyDescent="0.25">
      <c r="A42" t="s">
        <v>141</v>
      </c>
      <c r="B42" t="s">
        <v>142</v>
      </c>
      <c r="C42">
        <v>8</v>
      </c>
      <c r="D42" t="s">
        <v>59</v>
      </c>
      <c r="E42" cm="1">
        <f t="array" ref="E42">_xlfn.SWITCH(D42,"QPSK",0.1,"16QAM",0.25,"64QAM",0.5,"256QAM",0.8,"1024QAM",1,"")</f>
        <v>1</v>
      </c>
      <c r="F42" cm="1">
        <f t="array" ref="F42">_xlfn.SWITCH(D42,"QPSK",0.05,"16QAM",0.15,"64QAM",0.4,"256QAM",0.75,"1024QAM",1,"")</f>
        <v>1</v>
      </c>
      <c r="G42" t="s">
        <v>60</v>
      </c>
      <c r="H42">
        <v>4</v>
      </c>
      <c r="I42" t="s">
        <v>61</v>
      </c>
      <c r="J42">
        <v>2</v>
      </c>
      <c r="K42">
        <v>2</v>
      </c>
      <c r="L42" t="s">
        <v>62</v>
      </c>
      <c r="M42">
        <v>2</v>
      </c>
      <c r="N42">
        <v>0.47849999999999998</v>
      </c>
      <c r="O42">
        <v>0.47620000000000001</v>
      </c>
      <c r="P42">
        <v>5000</v>
      </c>
      <c r="Q42">
        <v>1252</v>
      </c>
      <c r="R42">
        <v>3748</v>
      </c>
      <c r="S42">
        <v>3.99</v>
      </c>
      <c r="T42">
        <v>2.99</v>
      </c>
      <c r="W42">
        <v>320</v>
      </c>
      <c r="X42">
        <v>0</v>
      </c>
      <c r="Y42">
        <v>93.6</v>
      </c>
      <c r="Z42">
        <v>74.44</v>
      </c>
      <c r="AB42">
        <v>297160000</v>
      </c>
      <c r="AC42">
        <v>19018240</v>
      </c>
      <c r="AD42">
        <v>297160000</v>
      </c>
      <c r="AE42">
        <v>19018240</v>
      </c>
      <c r="AG42">
        <v>25.56</v>
      </c>
      <c r="AH42">
        <v>6.4</v>
      </c>
      <c r="AI42">
        <v>1</v>
      </c>
      <c r="AJ42">
        <v>3.9936099999999999</v>
      </c>
      <c r="AK42">
        <v>3.0499999999999999E-2</v>
      </c>
      <c r="AL42">
        <v>3.8</v>
      </c>
      <c r="AM42">
        <v>3804</v>
      </c>
      <c r="AN42">
        <v>0.40639999999999998</v>
      </c>
      <c r="AO42">
        <v>30</v>
      </c>
      <c r="AP42">
        <v>21.87</v>
      </c>
      <c r="AQ42">
        <v>0.72</v>
      </c>
      <c r="AR42">
        <v>-5.94</v>
      </c>
      <c r="AS42">
        <v>1.97</v>
      </c>
      <c r="AT42">
        <v>21.73</v>
      </c>
      <c r="AU42">
        <v>6666.69</v>
      </c>
      <c r="AV42">
        <v>35.81</v>
      </c>
      <c r="AW42">
        <v>24.26</v>
      </c>
      <c r="AX42">
        <v>23.18</v>
      </c>
      <c r="AY42">
        <v>7.9883800000000003</v>
      </c>
      <c r="AZ42">
        <v>81.354736000000003</v>
      </c>
      <c r="BA42">
        <v>-22.135624</v>
      </c>
      <c r="BB42">
        <v>-2.1254979999999999</v>
      </c>
      <c r="BC42">
        <v>22.135624</v>
      </c>
      <c r="BD42">
        <v>16.844066000000002</v>
      </c>
      <c r="BE42">
        <v>164.40168</v>
      </c>
      <c r="BF42">
        <v>-15.738866</v>
      </c>
      <c r="BG42">
        <v>4.0043179999999996</v>
      </c>
      <c r="BH42">
        <v>15.738866</v>
      </c>
    </row>
    <row r="43" spans="1:60" x14ac:dyDescent="0.25">
      <c r="A43" t="s">
        <v>143</v>
      </c>
      <c r="B43" t="s">
        <v>144</v>
      </c>
      <c r="C43">
        <v>8</v>
      </c>
      <c r="D43" t="s">
        <v>59</v>
      </c>
      <c r="E43" cm="1">
        <f t="array" ref="E43">_xlfn.SWITCH(D43,"QPSK",0.1,"16QAM",0.25,"64QAM",0.5,"256QAM",0.8,"1024QAM",1,"")</f>
        <v>1</v>
      </c>
      <c r="F43" cm="1">
        <f t="array" ref="F43">_xlfn.SWITCH(D43,"QPSK",0.05,"16QAM",0.15,"64QAM",0.4,"256QAM",0.75,"1024QAM",1,"")</f>
        <v>1</v>
      </c>
      <c r="G43" t="s">
        <v>60</v>
      </c>
      <c r="H43">
        <v>8</v>
      </c>
      <c r="I43" t="s">
        <v>61</v>
      </c>
      <c r="J43">
        <v>2</v>
      </c>
      <c r="K43">
        <v>2</v>
      </c>
      <c r="L43" t="s">
        <v>62</v>
      </c>
      <c r="M43">
        <v>2</v>
      </c>
      <c r="N43">
        <v>0.47849999999999998</v>
      </c>
      <c r="O43">
        <v>0.47620000000000001</v>
      </c>
      <c r="P43">
        <v>5000</v>
      </c>
      <c r="Q43">
        <v>1256</v>
      </c>
      <c r="R43">
        <v>3744</v>
      </c>
      <c r="S43">
        <v>3.98</v>
      </c>
      <c r="T43">
        <v>2.98</v>
      </c>
      <c r="W43">
        <v>282</v>
      </c>
      <c r="X43">
        <v>0</v>
      </c>
      <c r="Y43">
        <v>94.36</v>
      </c>
      <c r="Z43">
        <v>77.55</v>
      </c>
      <c r="AB43">
        <v>297160000</v>
      </c>
      <c r="AC43">
        <v>16759824</v>
      </c>
      <c r="AD43">
        <v>297160000</v>
      </c>
      <c r="AE43">
        <v>16759824</v>
      </c>
      <c r="AG43">
        <v>22.45</v>
      </c>
      <c r="AH43">
        <v>5.64</v>
      </c>
      <c r="AI43">
        <v>1</v>
      </c>
      <c r="AJ43">
        <v>3.9808919999999999</v>
      </c>
      <c r="AK43">
        <v>2.69E-2</v>
      </c>
      <c r="AL43">
        <v>3.35</v>
      </c>
      <c r="AM43">
        <v>3352</v>
      </c>
      <c r="AN43">
        <v>0.35809999999999997</v>
      </c>
      <c r="AO43">
        <v>30</v>
      </c>
      <c r="AP43">
        <v>21.87</v>
      </c>
      <c r="AQ43">
        <v>0.72</v>
      </c>
      <c r="AR43">
        <v>-5.94</v>
      </c>
      <c r="AS43">
        <v>1.97</v>
      </c>
      <c r="AT43">
        <v>21.65</v>
      </c>
      <c r="AU43">
        <v>6666.69</v>
      </c>
      <c r="AV43">
        <v>35.81</v>
      </c>
      <c r="AW43">
        <v>24.26</v>
      </c>
      <c r="AX43">
        <v>23.18</v>
      </c>
      <c r="AY43">
        <v>7.9865919999999999</v>
      </c>
      <c r="AZ43">
        <v>81.545109999999994</v>
      </c>
      <c r="BA43">
        <v>-22.138781999999999</v>
      </c>
      <c r="BB43">
        <v>-2.1137779999999999</v>
      </c>
      <c r="BC43">
        <v>22.138781999999999</v>
      </c>
      <c r="BD43">
        <v>16.860754</v>
      </c>
      <c r="BE43">
        <v>164.810688</v>
      </c>
      <c r="BF43">
        <v>-15.732844</v>
      </c>
      <c r="BG43">
        <v>4.0183780000000002</v>
      </c>
      <c r="BH43">
        <v>15.732844</v>
      </c>
    </row>
    <row r="44" spans="1:60" x14ac:dyDescent="0.25">
      <c r="A44" t="s">
        <v>145</v>
      </c>
      <c r="B44" t="s">
        <v>146</v>
      </c>
      <c r="C44">
        <v>0</v>
      </c>
      <c r="D44" t="s">
        <v>147</v>
      </c>
      <c r="E44" cm="1">
        <f t="array" ref="E44">_xlfn.SWITCH(D44,"QPSK",0.1,"16QAM",0.25,"64QAM",0.5,"256QAM",0.8,"1024QAM",1,"")</f>
        <v>0.25</v>
      </c>
      <c r="F44" cm="1">
        <f t="array" ref="F44">_xlfn.SWITCH(D44,"QPSK",0.05,"16QAM",0.15,"64QAM",0.4,"256QAM",0.75,"1024QAM",1,"")</f>
        <v>0.15</v>
      </c>
      <c r="G44" t="s">
        <v>60</v>
      </c>
      <c r="H44">
        <v>1</v>
      </c>
      <c r="I44" t="s">
        <v>61</v>
      </c>
      <c r="J44">
        <v>2</v>
      </c>
      <c r="K44">
        <v>2</v>
      </c>
      <c r="L44" t="s">
        <v>62</v>
      </c>
      <c r="M44">
        <v>2</v>
      </c>
      <c r="N44">
        <v>0.47849999999999998</v>
      </c>
      <c r="O44">
        <v>0.48220000000000002</v>
      </c>
      <c r="P44">
        <v>5000</v>
      </c>
      <c r="Q44">
        <v>1266</v>
      </c>
      <c r="R44">
        <v>3734</v>
      </c>
      <c r="S44">
        <v>3.95</v>
      </c>
      <c r="T44">
        <v>2.95</v>
      </c>
      <c r="W44">
        <v>147</v>
      </c>
      <c r="X44">
        <v>0</v>
      </c>
      <c r="Y44">
        <v>97.06</v>
      </c>
      <c r="Z44">
        <v>88.39</v>
      </c>
      <c r="AB44">
        <v>120360000</v>
      </c>
      <c r="AC44">
        <v>3538584</v>
      </c>
      <c r="AD44">
        <v>120360000</v>
      </c>
      <c r="AE44">
        <v>3538584</v>
      </c>
      <c r="AG44">
        <v>11.61</v>
      </c>
      <c r="AH44">
        <v>2.94</v>
      </c>
      <c r="AI44">
        <v>1</v>
      </c>
      <c r="AJ44">
        <v>3.9494470000000002</v>
      </c>
      <c r="AK44">
        <v>1.4200000000000001E-2</v>
      </c>
      <c r="AL44">
        <v>0.71</v>
      </c>
      <c r="AM44">
        <v>708</v>
      </c>
      <c r="AN44">
        <v>7.5600000000000001E-2</v>
      </c>
      <c r="AO44">
        <v>30</v>
      </c>
      <c r="AP44">
        <v>21.87</v>
      </c>
      <c r="AQ44">
        <v>0.72</v>
      </c>
      <c r="AR44">
        <v>-5.73</v>
      </c>
      <c r="AS44">
        <v>1.85</v>
      </c>
      <c r="AT44">
        <v>10.54</v>
      </c>
      <c r="AU44">
        <v>6666.69</v>
      </c>
      <c r="AV44">
        <v>35.81</v>
      </c>
      <c r="AW44">
        <v>9.33</v>
      </c>
      <c r="AX44">
        <v>6</v>
      </c>
      <c r="AY44">
        <v>34.873756</v>
      </c>
      <c r="AZ44">
        <v>163.25667799999999</v>
      </c>
      <c r="BA44">
        <v>-9.1677660000000003</v>
      </c>
      <c r="BB44">
        <v>4.1311220000000004</v>
      </c>
      <c r="BC44">
        <v>9.1677660000000003</v>
      </c>
      <c r="BD44">
        <v>43.016993999999997</v>
      </c>
      <c r="BE44">
        <v>271.217198</v>
      </c>
      <c r="BF44">
        <v>-7.35656</v>
      </c>
      <c r="BG44">
        <v>8.4459800000000005</v>
      </c>
      <c r="BH44">
        <v>7.35656</v>
      </c>
    </row>
    <row r="45" spans="1:60" x14ac:dyDescent="0.25">
      <c r="A45" t="s">
        <v>148</v>
      </c>
      <c r="B45" t="s">
        <v>149</v>
      </c>
      <c r="C45">
        <v>0</v>
      </c>
      <c r="D45" t="s">
        <v>147</v>
      </c>
      <c r="E45" cm="1">
        <f t="array" ref="E45">_xlfn.SWITCH(D45,"QPSK",0.1,"16QAM",0.25,"64QAM",0.5,"256QAM",0.8,"1024QAM",1,"")</f>
        <v>0.25</v>
      </c>
      <c r="F45" cm="1">
        <f t="array" ref="F45">_xlfn.SWITCH(D45,"QPSK",0.05,"16QAM",0.15,"64QAM",0.4,"256QAM",0.75,"1024QAM",1,"")</f>
        <v>0.15</v>
      </c>
      <c r="G45" t="s">
        <v>60</v>
      </c>
      <c r="H45">
        <v>4</v>
      </c>
      <c r="I45" t="s">
        <v>61</v>
      </c>
      <c r="J45">
        <v>2</v>
      </c>
      <c r="K45">
        <v>2</v>
      </c>
      <c r="L45" t="s">
        <v>62</v>
      </c>
      <c r="M45">
        <v>2</v>
      </c>
      <c r="N45">
        <v>0.47849999999999998</v>
      </c>
      <c r="O45">
        <v>0.48220000000000002</v>
      </c>
      <c r="P45">
        <v>5000</v>
      </c>
      <c r="Q45">
        <v>1265</v>
      </c>
      <c r="R45">
        <v>3735</v>
      </c>
      <c r="S45">
        <v>3.95</v>
      </c>
      <c r="T45">
        <v>2.95</v>
      </c>
      <c r="W45">
        <v>146</v>
      </c>
      <c r="X45">
        <v>0</v>
      </c>
      <c r="Y45">
        <v>97.08</v>
      </c>
      <c r="Z45">
        <v>88.46</v>
      </c>
      <c r="AB45">
        <v>120360000</v>
      </c>
      <c r="AC45">
        <v>3514512</v>
      </c>
      <c r="AD45">
        <v>120360000</v>
      </c>
      <c r="AE45">
        <v>3514512</v>
      </c>
      <c r="AG45">
        <v>11.54</v>
      </c>
      <c r="AH45">
        <v>2.92</v>
      </c>
      <c r="AI45">
        <v>1</v>
      </c>
      <c r="AJ45">
        <v>3.952569</v>
      </c>
      <c r="AK45">
        <v>1.41E-2</v>
      </c>
      <c r="AL45">
        <v>0.7</v>
      </c>
      <c r="AM45">
        <v>703</v>
      </c>
      <c r="AN45">
        <v>7.51E-2</v>
      </c>
      <c r="AO45">
        <v>30</v>
      </c>
      <c r="AP45">
        <v>21.87</v>
      </c>
      <c r="AQ45">
        <v>0.72</v>
      </c>
      <c r="AR45">
        <v>-5.73</v>
      </c>
      <c r="AS45">
        <v>1.85</v>
      </c>
      <c r="AT45">
        <v>10.49</v>
      </c>
      <c r="AU45">
        <v>6666.69</v>
      </c>
      <c r="AV45">
        <v>35.81</v>
      </c>
      <c r="AW45">
        <v>9.33</v>
      </c>
      <c r="AX45">
        <v>6</v>
      </c>
      <c r="AY45">
        <v>34.875978000000003</v>
      </c>
      <c r="AZ45">
        <v>163.490104</v>
      </c>
      <c r="BA45">
        <v>-9.1671119999999995</v>
      </c>
      <c r="BB45">
        <v>4.143948</v>
      </c>
      <c r="BC45">
        <v>9.1671119999999995</v>
      </c>
      <c r="BD45">
        <v>43.006782000000001</v>
      </c>
      <c r="BE45">
        <v>271.04445399999997</v>
      </c>
      <c r="BF45">
        <v>-7.3589019999999996</v>
      </c>
      <c r="BG45">
        <v>8.4490800000000004</v>
      </c>
      <c r="BH45">
        <v>7.3589019999999996</v>
      </c>
    </row>
    <row r="46" spans="1:60" x14ac:dyDescent="0.25">
      <c r="A46" t="s">
        <v>150</v>
      </c>
      <c r="B46" t="s">
        <v>151</v>
      </c>
      <c r="C46">
        <v>0</v>
      </c>
      <c r="D46" t="s">
        <v>147</v>
      </c>
      <c r="E46" cm="1">
        <f t="array" ref="E46">_xlfn.SWITCH(D46,"QPSK",0.1,"16QAM",0.25,"64QAM",0.5,"256QAM",0.8,"1024QAM",1,"")</f>
        <v>0.25</v>
      </c>
      <c r="F46" cm="1">
        <f t="array" ref="F46">_xlfn.SWITCH(D46,"QPSK",0.05,"16QAM",0.15,"64QAM",0.4,"256QAM",0.75,"1024QAM",1,"")</f>
        <v>0.15</v>
      </c>
      <c r="G46" t="s">
        <v>60</v>
      </c>
      <c r="H46">
        <v>8</v>
      </c>
      <c r="I46" t="s">
        <v>61</v>
      </c>
      <c r="J46">
        <v>2</v>
      </c>
      <c r="K46">
        <v>2</v>
      </c>
      <c r="L46" t="s">
        <v>62</v>
      </c>
      <c r="M46">
        <v>2</v>
      </c>
      <c r="N46">
        <v>0.47849999999999998</v>
      </c>
      <c r="O46">
        <v>0.48220000000000002</v>
      </c>
      <c r="P46">
        <v>5000</v>
      </c>
      <c r="Q46">
        <v>1271</v>
      </c>
      <c r="R46">
        <v>3729</v>
      </c>
      <c r="S46">
        <v>3.93</v>
      </c>
      <c r="T46">
        <v>2.93</v>
      </c>
      <c r="W46">
        <v>135</v>
      </c>
      <c r="X46">
        <v>0</v>
      </c>
      <c r="Y46">
        <v>97.3</v>
      </c>
      <c r="Z46">
        <v>89.38</v>
      </c>
      <c r="AB46">
        <v>120360000</v>
      </c>
      <c r="AC46">
        <v>3249720</v>
      </c>
      <c r="AD46">
        <v>120360000</v>
      </c>
      <c r="AE46">
        <v>3249720</v>
      </c>
      <c r="AG46">
        <v>10.62</v>
      </c>
      <c r="AH46">
        <v>2.7</v>
      </c>
      <c r="AI46">
        <v>1</v>
      </c>
      <c r="AJ46">
        <v>3.93391</v>
      </c>
      <c r="AK46">
        <v>1.2999999999999999E-2</v>
      </c>
      <c r="AL46">
        <v>0.65</v>
      </c>
      <c r="AM46">
        <v>650</v>
      </c>
      <c r="AN46">
        <v>6.9400000000000003E-2</v>
      </c>
      <c r="AO46">
        <v>30</v>
      </c>
      <c r="AP46">
        <v>21.87</v>
      </c>
      <c r="AQ46">
        <v>0.72</v>
      </c>
      <c r="AR46">
        <v>-5.72</v>
      </c>
      <c r="AS46">
        <v>1.84</v>
      </c>
      <c r="AT46">
        <v>10.53</v>
      </c>
      <c r="AU46">
        <v>6666.69</v>
      </c>
      <c r="AV46">
        <v>35.81</v>
      </c>
      <c r="AW46">
        <v>9.34</v>
      </c>
      <c r="AX46">
        <v>6</v>
      </c>
      <c r="AY46">
        <v>34.875022000000001</v>
      </c>
      <c r="AZ46">
        <v>163.17645999999999</v>
      </c>
      <c r="BA46">
        <v>-9.1674579999999999</v>
      </c>
      <c r="BB46">
        <v>4.1255319999999998</v>
      </c>
      <c r="BC46">
        <v>9.1674579999999999</v>
      </c>
      <c r="BD46">
        <v>42.980082000000003</v>
      </c>
      <c r="BE46">
        <v>270.08576799999997</v>
      </c>
      <c r="BF46">
        <v>-7.3639279999999996</v>
      </c>
      <c r="BG46">
        <v>8.4184520000000003</v>
      </c>
      <c r="BH46">
        <v>7.3639279999999996</v>
      </c>
    </row>
    <row r="47" spans="1:60" x14ac:dyDescent="0.25">
      <c r="A47" t="s">
        <v>152</v>
      </c>
      <c r="B47" t="s">
        <v>153</v>
      </c>
      <c r="C47">
        <v>10</v>
      </c>
      <c r="D47" t="s">
        <v>147</v>
      </c>
      <c r="E47" cm="1">
        <f t="array" ref="E47">_xlfn.SWITCH(D47,"QPSK",0.1,"16QAM",0.25,"64QAM",0.5,"256QAM",0.8,"1024QAM",1,"")</f>
        <v>0.25</v>
      </c>
      <c r="F47" cm="1">
        <f t="array" ref="F47">_xlfn.SWITCH(D47,"QPSK",0.05,"16QAM",0.15,"64QAM",0.4,"256QAM",0.75,"1024QAM",1,"")</f>
        <v>0.15</v>
      </c>
      <c r="G47" t="s">
        <v>60</v>
      </c>
      <c r="H47">
        <v>1</v>
      </c>
      <c r="I47" t="s">
        <v>61</v>
      </c>
      <c r="J47">
        <v>2</v>
      </c>
      <c r="K47">
        <v>2</v>
      </c>
      <c r="L47" t="s">
        <v>62</v>
      </c>
      <c r="M47">
        <v>2</v>
      </c>
      <c r="N47">
        <v>0.47849999999999998</v>
      </c>
      <c r="O47">
        <v>0.48220000000000002</v>
      </c>
      <c r="P47">
        <v>5000</v>
      </c>
      <c r="Q47">
        <v>3046</v>
      </c>
      <c r="R47">
        <v>1954</v>
      </c>
      <c r="S47">
        <v>1.64</v>
      </c>
      <c r="T47">
        <v>0.64</v>
      </c>
      <c r="W47">
        <v>3046</v>
      </c>
      <c r="X47">
        <v>0</v>
      </c>
      <c r="Y47">
        <v>39.08</v>
      </c>
      <c r="Z47">
        <v>0</v>
      </c>
      <c r="AB47">
        <v>120360000</v>
      </c>
      <c r="AC47">
        <v>73323312</v>
      </c>
      <c r="AD47">
        <v>120360000</v>
      </c>
      <c r="AE47">
        <v>73323312</v>
      </c>
      <c r="AG47">
        <v>100</v>
      </c>
      <c r="AH47">
        <v>60.92</v>
      </c>
      <c r="AI47">
        <v>1</v>
      </c>
      <c r="AJ47">
        <v>1.641497</v>
      </c>
      <c r="AK47">
        <v>0.29380000000000001</v>
      </c>
      <c r="AL47">
        <v>14.66</v>
      </c>
      <c r="AM47">
        <v>14665</v>
      </c>
      <c r="AN47">
        <v>1.5667</v>
      </c>
      <c r="AO47">
        <v>30</v>
      </c>
      <c r="AP47">
        <v>21.87</v>
      </c>
      <c r="AQ47">
        <v>0.72</v>
      </c>
      <c r="AR47">
        <v>-5.93</v>
      </c>
      <c r="AS47">
        <v>1.98</v>
      </c>
      <c r="AT47">
        <v>23.12</v>
      </c>
      <c r="AU47">
        <v>6666.69</v>
      </c>
      <c r="AV47">
        <v>35.81</v>
      </c>
      <c r="AW47">
        <v>12.4</v>
      </c>
      <c r="AX47">
        <v>9.3000000000000007</v>
      </c>
      <c r="AY47">
        <v>24.409739999999999</v>
      </c>
      <c r="AZ47">
        <v>92.637957999999998</v>
      </c>
      <c r="BA47">
        <v>-12.324866</v>
      </c>
      <c r="BB47">
        <v>-1.079118</v>
      </c>
      <c r="BC47">
        <v>12.324866</v>
      </c>
      <c r="BD47">
        <v>35.616681999999997</v>
      </c>
      <c r="BE47">
        <v>181.07689199999999</v>
      </c>
      <c r="BF47">
        <v>-9.0284359999999992</v>
      </c>
      <c r="BG47">
        <v>4.9313159999999998</v>
      </c>
      <c r="BH47">
        <v>9.0284359999999992</v>
      </c>
    </row>
    <row r="48" spans="1:60" x14ac:dyDescent="0.25">
      <c r="A48" t="s">
        <v>154</v>
      </c>
      <c r="B48" t="s">
        <v>155</v>
      </c>
      <c r="C48">
        <v>10</v>
      </c>
      <c r="D48" t="s">
        <v>147</v>
      </c>
      <c r="E48" cm="1">
        <f t="array" ref="E48">_xlfn.SWITCH(D48,"QPSK",0.1,"16QAM",0.25,"64QAM",0.5,"256QAM",0.8,"1024QAM",1,"")</f>
        <v>0.25</v>
      </c>
      <c r="F48" cm="1">
        <f t="array" ref="F48">_xlfn.SWITCH(D48,"QPSK",0.05,"16QAM",0.15,"64QAM",0.4,"256QAM",0.75,"1024QAM",1,"")</f>
        <v>0.15</v>
      </c>
      <c r="G48" t="s">
        <v>60</v>
      </c>
      <c r="H48">
        <v>1</v>
      </c>
      <c r="I48" t="s">
        <v>61</v>
      </c>
      <c r="J48">
        <v>2</v>
      </c>
      <c r="K48">
        <v>2</v>
      </c>
      <c r="L48" t="s">
        <v>62</v>
      </c>
      <c r="M48">
        <v>2</v>
      </c>
      <c r="N48">
        <v>0.47849999999999998</v>
      </c>
      <c r="O48">
        <v>0.48220000000000002</v>
      </c>
      <c r="P48">
        <v>5000</v>
      </c>
      <c r="Q48">
        <v>3038</v>
      </c>
      <c r="R48">
        <v>1962</v>
      </c>
      <c r="S48">
        <v>1.65</v>
      </c>
      <c r="T48">
        <v>0.65</v>
      </c>
      <c r="W48">
        <v>3038</v>
      </c>
      <c r="X48">
        <v>0</v>
      </c>
      <c r="Y48">
        <v>39.24</v>
      </c>
      <c r="Z48">
        <v>0</v>
      </c>
      <c r="AB48">
        <v>120360000</v>
      </c>
      <c r="AC48">
        <v>73130736</v>
      </c>
      <c r="AD48">
        <v>120360000</v>
      </c>
      <c r="AE48">
        <v>73130736</v>
      </c>
      <c r="AG48">
        <v>100</v>
      </c>
      <c r="AH48">
        <v>60.76</v>
      </c>
      <c r="AI48">
        <v>1</v>
      </c>
      <c r="AJ48">
        <v>1.6458200000000001</v>
      </c>
      <c r="AK48">
        <v>0.29299999999999998</v>
      </c>
      <c r="AL48">
        <v>14.63</v>
      </c>
      <c r="AM48">
        <v>14626</v>
      </c>
      <c r="AN48">
        <v>1.5626</v>
      </c>
      <c r="AO48">
        <v>30</v>
      </c>
      <c r="AP48">
        <v>21.87</v>
      </c>
      <c r="AQ48">
        <v>0.72</v>
      </c>
      <c r="AR48">
        <v>-5.93</v>
      </c>
      <c r="AS48">
        <v>1.98</v>
      </c>
      <c r="AT48">
        <v>22.66</v>
      </c>
      <c r="AU48">
        <v>6666.69</v>
      </c>
      <c r="AV48">
        <v>35.81</v>
      </c>
      <c r="AW48">
        <v>12.4</v>
      </c>
      <c r="AX48">
        <v>9.3000000000000007</v>
      </c>
      <c r="AY48">
        <v>24.40626</v>
      </c>
      <c r="AZ48">
        <v>92.545547999999997</v>
      </c>
      <c r="BA48">
        <v>-12.326152</v>
      </c>
      <c r="BB48">
        <v>-1.0879259999999999</v>
      </c>
      <c r="BC48">
        <v>12.326152</v>
      </c>
      <c r="BD48">
        <v>35.618913999999997</v>
      </c>
      <c r="BE48">
        <v>181.67020400000001</v>
      </c>
      <c r="BF48">
        <v>-9.0280039999999993</v>
      </c>
      <c r="BG48">
        <v>4.956658</v>
      </c>
      <c r="BH48">
        <v>9.0280039999999993</v>
      </c>
    </row>
    <row r="49" spans="1:60" x14ac:dyDescent="0.25">
      <c r="A49" t="s">
        <v>156</v>
      </c>
      <c r="B49" t="s">
        <v>157</v>
      </c>
      <c r="C49">
        <v>10</v>
      </c>
      <c r="D49" t="s">
        <v>147</v>
      </c>
      <c r="E49" cm="1">
        <f t="array" ref="E49">_xlfn.SWITCH(D49,"QPSK",0.1,"16QAM",0.25,"64QAM",0.5,"256QAM",0.8,"1024QAM",1,"")</f>
        <v>0.25</v>
      </c>
      <c r="F49" cm="1">
        <f t="array" ref="F49">_xlfn.SWITCH(D49,"QPSK",0.05,"16QAM",0.15,"64QAM",0.4,"256QAM",0.75,"1024QAM",1,"")</f>
        <v>0.15</v>
      </c>
      <c r="G49" t="s">
        <v>60</v>
      </c>
      <c r="H49">
        <v>4</v>
      </c>
      <c r="I49" t="s">
        <v>61</v>
      </c>
      <c r="J49">
        <v>2</v>
      </c>
      <c r="K49">
        <v>2</v>
      </c>
      <c r="L49" t="s">
        <v>62</v>
      </c>
      <c r="M49">
        <v>2</v>
      </c>
      <c r="N49">
        <v>0.47849999999999998</v>
      </c>
      <c r="O49">
        <v>0.48220000000000002</v>
      </c>
      <c r="P49">
        <v>5000</v>
      </c>
      <c r="Q49">
        <v>3007</v>
      </c>
      <c r="R49">
        <v>1993</v>
      </c>
      <c r="S49">
        <v>1.66</v>
      </c>
      <c r="T49">
        <v>0.66</v>
      </c>
      <c r="W49">
        <v>3007</v>
      </c>
      <c r="X49">
        <v>0</v>
      </c>
      <c r="Y49">
        <v>39.86</v>
      </c>
      <c r="Z49">
        <v>0</v>
      </c>
      <c r="AB49">
        <v>120360000</v>
      </c>
      <c r="AC49">
        <v>72384504</v>
      </c>
      <c r="AD49">
        <v>120360000</v>
      </c>
      <c r="AE49">
        <v>72384504</v>
      </c>
      <c r="AG49">
        <v>100</v>
      </c>
      <c r="AH49">
        <v>60.14</v>
      </c>
      <c r="AI49">
        <v>1</v>
      </c>
      <c r="AJ49">
        <v>1.662787</v>
      </c>
      <c r="AK49">
        <v>0.28999999999999998</v>
      </c>
      <c r="AL49">
        <v>14.48</v>
      </c>
      <c r="AM49">
        <v>14477</v>
      </c>
      <c r="AN49">
        <v>1.5467</v>
      </c>
      <c r="AO49">
        <v>30</v>
      </c>
      <c r="AP49">
        <v>21.87</v>
      </c>
      <c r="AQ49">
        <v>0.72</v>
      </c>
      <c r="AR49">
        <v>-5.93</v>
      </c>
      <c r="AS49">
        <v>1.98</v>
      </c>
      <c r="AT49">
        <v>22.5</v>
      </c>
      <c r="AU49">
        <v>6666.69</v>
      </c>
      <c r="AV49">
        <v>35.81</v>
      </c>
      <c r="AW49">
        <v>12.4</v>
      </c>
      <c r="AX49">
        <v>9.3000000000000007</v>
      </c>
      <c r="AY49">
        <v>24.411163999999999</v>
      </c>
      <c r="AZ49">
        <v>92.543567999999993</v>
      </c>
      <c r="BA49">
        <v>-12.324553999999999</v>
      </c>
      <c r="BB49">
        <v>-1.0932820000000001</v>
      </c>
      <c r="BC49">
        <v>12.324553999999999</v>
      </c>
      <c r="BD49">
        <v>35.605564000000001</v>
      </c>
      <c r="BE49">
        <v>181.66649799999999</v>
      </c>
      <c r="BF49">
        <v>-9.0312300000000008</v>
      </c>
      <c r="BG49">
        <v>4.9567639999999997</v>
      </c>
      <c r="BH49">
        <v>9.0312300000000008</v>
      </c>
    </row>
    <row r="50" spans="1:60" x14ac:dyDescent="0.25">
      <c r="A50" t="s">
        <v>158</v>
      </c>
      <c r="B50" t="s">
        <v>159</v>
      </c>
      <c r="C50">
        <v>10</v>
      </c>
      <c r="D50" t="s">
        <v>147</v>
      </c>
      <c r="E50" cm="1">
        <f t="array" ref="E50">_xlfn.SWITCH(D50,"QPSK",0.1,"16QAM",0.25,"64QAM",0.5,"256QAM",0.8,"1024QAM",1,"")</f>
        <v>0.25</v>
      </c>
      <c r="F50" cm="1">
        <f t="array" ref="F50">_xlfn.SWITCH(D50,"QPSK",0.05,"16QAM",0.15,"64QAM",0.4,"256QAM",0.75,"1024QAM",1,"")</f>
        <v>0.15</v>
      </c>
      <c r="G50" t="s">
        <v>60</v>
      </c>
      <c r="H50">
        <v>4</v>
      </c>
      <c r="I50" t="s">
        <v>61</v>
      </c>
      <c r="J50">
        <v>2</v>
      </c>
      <c r="K50">
        <v>2</v>
      </c>
      <c r="L50" t="s">
        <v>62</v>
      </c>
      <c r="M50">
        <v>2</v>
      </c>
      <c r="N50">
        <v>0.47849999999999998</v>
      </c>
      <c r="O50">
        <v>0.48220000000000002</v>
      </c>
      <c r="P50">
        <v>5000</v>
      </c>
      <c r="Q50">
        <v>3024</v>
      </c>
      <c r="R50">
        <v>1976</v>
      </c>
      <c r="S50">
        <v>1.65</v>
      </c>
      <c r="T50">
        <v>0.65</v>
      </c>
      <c r="W50">
        <v>3021</v>
      </c>
      <c r="X50">
        <v>0</v>
      </c>
      <c r="Y50">
        <v>39.58</v>
      </c>
      <c r="Z50">
        <v>0.1</v>
      </c>
      <c r="AB50">
        <v>120360000</v>
      </c>
      <c r="AC50">
        <v>72721512</v>
      </c>
      <c r="AD50">
        <v>120360000</v>
      </c>
      <c r="AE50">
        <v>72721512</v>
      </c>
      <c r="AG50">
        <v>99.9</v>
      </c>
      <c r="AH50">
        <v>60.42</v>
      </c>
      <c r="AI50">
        <v>1</v>
      </c>
      <c r="AJ50">
        <v>1.6534390000000001</v>
      </c>
      <c r="AK50">
        <v>0.29139999999999999</v>
      </c>
      <c r="AL50">
        <v>14.54</v>
      </c>
      <c r="AM50">
        <v>14544</v>
      </c>
      <c r="AN50">
        <v>1.5539000000000001</v>
      </c>
      <c r="AO50">
        <v>30</v>
      </c>
      <c r="AP50">
        <v>21.87</v>
      </c>
      <c r="AQ50">
        <v>0.72</v>
      </c>
      <c r="AR50">
        <v>-5.94</v>
      </c>
      <c r="AS50">
        <v>1.98</v>
      </c>
      <c r="AT50">
        <v>22.61</v>
      </c>
      <c r="AU50">
        <v>6666.69</v>
      </c>
      <c r="AV50">
        <v>35.81</v>
      </c>
      <c r="AW50">
        <v>12.4</v>
      </c>
      <c r="AX50">
        <v>9.3000000000000007</v>
      </c>
      <c r="AY50">
        <v>24.414020000000001</v>
      </c>
      <c r="AZ50">
        <v>92.330280000000002</v>
      </c>
      <c r="BA50">
        <v>-12.323404</v>
      </c>
      <c r="BB50">
        <v>-1.102562</v>
      </c>
      <c r="BC50">
        <v>12.323404</v>
      </c>
      <c r="BD50">
        <v>35.613362000000002</v>
      </c>
      <c r="BE50">
        <v>181.25774200000001</v>
      </c>
      <c r="BF50">
        <v>-9.0295559999999995</v>
      </c>
      <c r="BG50">
        <v>4.9342920000000001</v>
      </c>
      <c r="BH50">
        <v>9.0295559999999995</v>
      </c>
    </row>
    <row r="51" spans="1:60" x14ac:dyDescent="0.25">
      <c r="A51" t="s">
        <v>160</v>
      </c>
      <c r="B51" t="s">
        <v>161</v>
      </c>
      <c r="C51">
        <v>10</v>
      </c>
      <c r="D51" t="s">
        <v>147</v>
      </c>
      <c r="E51" cm="1">
        <f t="array" ref="E51">_xlfn.SWITCH(D51,"QPSK",0.1,"16QAM",0.25,"64QAM",0.5,"256QAM",0.8,"1024QAM",1,"")</f>
        <v>0.25</v>
      </c>
      <c r="F51" cm="1">
        <f t="array" ref="F51">_xlfn.SWITCH(D51,"QPSK",0.05,"16QAM",0.15,"64QAM",0.4,"256QAM",0.75,"1024QAM",1,"")</f>
        <v>0.15</v>
      </c>
      <c r="G51" t="s">
        <v>60</v>
      </c>
      <c r="H51">
        <v>8</v>
      </c>
      <c r="I51" t="s">
        <v>61</v>
      </c>
      <c r="J51">
        <v>2</v>
      </c>
      <c r="K51">
        <v>2</v>
      </c>
      <c r="L51" t="s">
        <v>62</v>
      </c>
      <c r="M51">
        <v>2</v>
      </c>
      <c r="N51">
        <v>0.47849999999999998</v>
      </c>
      <c r="O51">
        <v>0.48220000000000002</v>
      </c>
      <c r="P51">
        <v>5000</v>
      </c>
      <c r="Q51">
        <v>2974</v>
      </c>
      <c r="R51">
        <v>2026</v>
      </c>
      <c r="S51">
        <v>1.68</v>
      </c>
      <c r="T51">
        <v>0.68</v>
      </c>
      <c r="W51">
        <v>2972</v>
      </c>
      <c r="X51">
        <v>0</v>
      </c>
      <c r="Y51">
        <v>40.56</v>
      </c>
      <c r="Z51">
        <v>7.0000000000000007E-2</v>
      </c>
      <c r="AB51">
        <v>120360000</v>
      </c>
      <c r="AC51">
        <v>71541984</v>
      </c>
      <c r="AD51">
        <v>120360000</v>
      </c>
      <c r="AE51">
        <v>71541984</v>
      </c>
      <c r="AG51">
        <v>99.93</v>
      </c>
      <c r="AH51">
        <v>59.44</v>
      </c>
      <c r="AI51">
        <v>1</v>
      </c>
      <c r="AJ51">
        <v>1.6812370000000001</v>
      </c>
      <c r="AK51">
        <v>0.28660000000000002</v>
      </c>
      <c r="AL51">
        <v>14.31</v>
      </c>
      <c r="AM51">
        <v>14308</v>
      </c>
      <c r="AN51">
        <v>1.5286999999999999</v>
      </c>
      <c r="AO51">
        <v>30</v>
      </c>
      <c r="AP51">
        <v>21.87</v>
      </c>
      <c r="AQ51">
        <v>0.72</v>
      </c>
      <c r="AR51">
        <v>-5.93</v>
      </c>
      <c r="AS51">
        <v>1.98</v>
      </c>
      <c r="AT51">
        <v>22.3</v>
      </c>
      <c r="AU51">
        <v>6666.69</v>
      </c>
      <c r="AV51">
        <v>35.81</v>
      </c>
      <c r="AW51">
        <v>12.4</v>
      </c>
      <c r="AX51">
        <v>9.3000000000000007</v>
      </c>
      <c r="AY51">
        <v>24.405367999999999</v>
      </c>
      <c r="AZ51">
        <v>91.983881999999994</v>
      </c>
      <c r="BA51">
        <v>-12.326476</v>
      </c>
      <c r="BB51">
        <v>-1.1337520000000001</v>
      </c>
      <c r="BC51">
        <v>12.326476</v>
      </c>
      <c r="BD51">
        <v>35.607742000000002</v>
      </c>
      <c r="BE51">
        <v>181.205884</v>
      </c>
      <c r="BF51">
        <v>-9.0308799999999998</v>
      </c>
      <c r="BG51">
        <v>4.9342980000000001</v>
      </c>
      <c r="BH51">
        <v>9.0308799999999998</v>
      </c>
    </row>
    <row r="52" spans="1:60" x14ac:dyDescent="0.25">
      <c r="A52" t="s">
        <v>162</v>
      </c>
      <c r="B52" t="s">
        <v>163</v>
      </c>
      <c r="C52">
        <v>10</v>
      </c>
      <c r="D52" t="s">
        <v>147</v>
      </c>
      <c r="E52" cm="1">
        <f t="array" ref="E52">_xlfn.SWITCH(D52,"QPSK",0.1,"16QAM",0.25,"64QAM",0.5,"256QAM",0.8,"1024QAM",1,"")</f>
        <v>0.25</v>
      </c>
      <c r="F52" cm="1">
        <f t="array" ref="F52">_xlfn.SWITCH(D52,"QPSK",0.05,"16QAM",0.15,"64QAM",0.4,"256QAM",0.75,"1024QAM",1,"")</f>
        <v>0.15</v>
      </c>
      <c r="G52" t="s">
        <v>60</v>
      </c>
      <c r="H52">
        <v>8</v>
      </c>
      <c r="I52" t="s">
        <v>61</v>
      </c>
      <c r="J52">
        <v>2</v>
      </c>
      <c r="K52">
        <v>2</v>
      </c>
      <c r="L52" t="s">
        <v>62</v>
      </c>
      <c r="M52">
        <v>2</v>
      </c>
      <c r="N52">
        <v>0.47849999999999998</v>
      </c>
      <c r="O52">
        <v>0.48220000000000002</v>
      </c>
      <c r="P52">
        <v>5000</v>
      </c>
      <c r="Q52">
        <v>2988</v>
      </c>
      <c r="R52">
        <v>2012</v>
      </c>
      <c r="S52">
        <v>1.67</v>
      </c>
      <c r="T52">
        <v>0.67</v>
      </c>
      <c r="W52">
        <v>2986</v>
      </c>
      <c r="X52">
        <v>0</v>
      </c>
      <c r="Y52">
        <v>40.28</v>
      </c>
      <c r="Z52">
        <v>7.0000000000000007E-2</v>
      </c>
      <c r="AB52">
        <v>120360000</v>
      </c>
      <c r="AC52">
        <v>71878992</v>
      </c>
      <c r="AD52">
        <v>120360000</v>
      </c>
      <c r="AE52">
        <v>71878992</v>
      </c>
      <c r="AG52">
        <v>99.93</v>
      </c>
      <c r="AH52">
        <v>59.72</v>
      </c>
      <c r="AI52">
        <v>1</v>
      </c>
      <c r="AJ52">
        <v>1.67336</v>
      </c>
      <c r="AK52">
        <v>0.28799999999999998</v>
      </c>
      <c r="AL52">
        <v>14.38</v>
      </c>
      <c r="AM52">
        <v>14376</v>
      </c>
      <c r="AN52">
        <v>1.5359</v>
      </c>
      <c r="AO52">
        <v>30</v>
      </c>
      <c r="AP52">
        <v>21.87</v>
      </c>
      <c r="AQ52">
        <v>0.72</v>
      </c>
      <c r="AR52">
        <v>-5.93</v>
      </c>
      <c r="AS52">
        <v>1.98</v>
      </c>
      <c r="AT52">
        <v>22.89</v>
      </c>
      <c r="AU52">
        <v>6666.69</v>
      </c>
      <c r="AV52">
        <v>35.81</v>
      </c>
      <c r="AW52">
        <v>12.4</v>
      </c>
      <c r="AX52">
        <v>9.3000000000000007</v>
      </c>
      <c r="AY52">
        <v>24.404921999999999</v>
      </c>
      <c r="AZ52">
        <v>92.297721999999993</v>
      </c>
      <c r="BA52">
        <v>-12.327138</v>
      </c>
      <c r="BB52">
        <v>-1.105828</v>
      </c>
      <c r="BC52">
        <v>12.327138</v>
      </c>
      <c r="BD52">
        <v>35.607542000000002</v>
      </c>
      <c r="BE52">
        <v>181.52592999999999</v>
      </c>
      <c r="BF52">
        <v>-9.030678</v>
      </c>
      <c r="BG52">
        <v>4.9474299999999998</v>
      </c>
      <c r="BH52">
        <v>9.030678</v>
      </c>
    </row>
    <row r="53" spans="1:60" x14ac:dyDescent="0.25">
      <c r="A53" t="s">
        <v>164</v>
      </c>
      <c r="B53" t="s">
        <v>165</v>
      </c>
      <c r="C53">
        <v>12</v>
      </c>
      <c r="D53" t="s">
        <v>147</v>
      </c>
      <c r="E53" cm="1">
        <f t="array" ref="E53">_xlfn.SWITCH(D53,"QPSK",0.1,"16QAM",0.25,"64QAM",0.5,"256QAM",0.8,"1024QAM",1,"")</f>
        <v>0.25</v>
      </c>
      <c r="F53" cm="1">
        <f t="array" ref="F53">_xlfn.SWITCH(D53,"QPSK",0.05,"16QAM",0.15,"64QAM",0.4,"256QAM",0.75,"1024QAM",1,"")</f>
        <v>0.15</v>
      </c>
      <c r="G53" t="s">
        <v>60</v>
      </c>
      <c r="H53">
        <v>1</v>
      </c>
      <c r="I53" t="s">
        <v>61</v>
      </c>
      <c r="J53">
        <v>2</v>
      </c>
      <c r="K53">
        <v>2</v>
      </c>
      <c r="L53" t="s">
        <v>62</v>
      </c>
      <c r="M53">
        <v>2</v>
      </c>
      <c r="N53">
        <v>0.47849999999999998</v>
      </c>
      <c r="O53">
        <v>0.48220000000000002</v>
      </c>
      <c r="P53">
        <v>5000</v>
      </c>
      <c r="Q53">
        <v>3697</v>
      </c>
      <c r="R53">
        <v>1303</v>
      </c>
      <c r="S53">
        <v>1.35</v>
      </c>
      <c r="T53">
        <v>0.35</v>
      </c>
      <c r="W53">
        <v>3697</v>
      </c>
      <c r="X53">
        <v>0</v>
      </c>
      <c r="Y53">
        <v>26.06</v>
      </c>
      <c r="Z53">
        <v>0</v>
      </c>
      <c r="AB53">
        <v>120360000</v>
      </c>
      <c r="AC53">
        <v>88994184</v>
      </c>
      <c r="AD53">
        <v>120360000</v>
      </c>
      <c r="AE53">
        <v>88994184</v>
      </c>
      <c r="AG53">
        <v>100</v>
      </c>
      <c r="AH53">
        <v>73.94</v>
      </c>
      <c r="AI53">
        <v>1</v>
      </c>
      <c r="AJ53">
        <v>1.3524480000000001</v>
      </c>
      <c r="AK53">
        <v>0.35649999999999998</v>
      </c>
      <c r="AL53">
        <v>17.8</v>
      </c>
      <c r="AM53">
        <v>17799</v>
      </c>
      <c r="AN53">
        <v>1.9016</v>
      </c>
      <c r="AO53">
        <v>30</v>
      </c>
      <c r="AP53">
        <v>21.87</v>
      </c>
      <c r="AQ53">
        <v>0.72</v>
      </c>
      <c r="AR53">
        <v>-5.93</v>
      </c>
      <c r="AS53">
        <v>1.97</v>
      </c>
      <c r="AT53">
        <v>22.31</v>
      </c>
      <c r="AU53">
        <v>6666.69</v>
      </c>
      <c r="AV53">
        <v>35.81</v>
      </c>
      <c r="AW53">
        <v>13.24</v>
      </c>
      <c r="AX53">
        <v>9.73</v>
      </c>
      <c r="AY53">
        <v>22.188268000000001</v>
      </c>
      <c r="AZ53">
        <v>91.426150000000007</v>
      </c>
      <c r="BA53">
        <v>-13.184956</v>
      </c>
      <c r="BB53">
        <v>-1.303094</v>
      </c>
      <c r="BC53">
        <v>13.184956</v>
      </c>
      <c r="BD53">
        <v>34.050704000000003</v>
      </c>
      <c r="BE53">
        <v>178.231176</v>
      </c>
      <c r="BF53">
        <v>-9.4207140000000003</v>
      </c>
      <c r="BG53">
        <v>4.8381080000000001</v>
      </c>
      <c r="BH53">
        <v>9.4207140000000003</v>
      </c>
    </row>
    <row r="54" spans="1:60" x14ac:dyDescent="0.25">
      <c r="A54" t="s">
        <v>166</v>
      </c>
      <c r="B54" t="s">
        <v>167</v>
      </c>
      <c r="C54">
        <v>12</v>
      </c>
      <c r="D54" t="s">
        <v>147</v>
      </c>
      <c r="E54" cm="1">
        <f t="array" ref="E54">_xlfn.SWITCH(D54,"QPSK",0.1,"16QAM",0.25,"64QAM",0.5,"256QAM",0.8,"1024QAM",1,"")</f>
        <v>0.25</v>
      </c>
      <c r="F54" cm="1">
        <f t="array" ref="F54">_xlfn.SWITCH(D54,"QPSK",0.05,"16QAM",0.15,"64QAM",0.4,"256QAM",0.75,"1024QAM",1,"")</f>
        <v>0.15</v>
      </c>
      <c r="G54" t="s">
        <v>60</v>
      </c>
      <c r="H54">
        <v>4</v>
      </c>
      <c r="I54" t="s">
        <v>61</v>
      </c>
      <c r="J54">
        <v>2</v>
      </c>
      <c r="K54">
        <v>2</v>
      </c>
      <c r="L54" t="s">
        <v>62</v>
      </c>
      <c r="M54">
        <v>2</v>
      </c>
      <c r="N54">
        <v>0.47849999999999998</v>
      </c>
      <c r="O54">
        <v>0.48220000000000002</v>
      </c>
      <c r="P54">
        <v>5000</v>
      </c>
      <c r="Q54">
        <v>3640</v>
      </c>
      <c r="R54">
        <v>1360</v>
      </c>
      <c r="S54">
        <v>1.37</v>
      </c>
      <c r="T54">
        <v>0.37</v>
      </c>
      <c r="W54">
        <v>3640</v>
      </c>
      <c r="X54">
        <v>0</v>
      </c>
      <c r="Y54">
        <v>27.2</v>
      </c>
      <c r="Z54">
        <v>0</v>
      </c>
      <c r="AB54">
        <v>120360000</v>
      </c>
      <c r="AC54">
        <v>87622080</v>
      </c>
      <c r="AD54">
        <v>120360000</v>
      </c>
      <c r="AE54">
        <v>87622080</v>
      </c>
      <c r="AG54">
        <v>100</v>
      </c>
      <c r="AH54">
        <v>72.8</v>
      </c>
      <c r="AI54">
        <v>1</v>
      </c>
      <c r="AJ54">
        <v>1.373626</v>
      </c>
      <c r="AK54">
        <v>0.35099999999999998</v>
      </c>
      <c r="AL54">
        <v>17.52</v>
      </c>
      <c r="AM54">
        <v>17524</v>
      </c>
      <c r="AN54">
        <v>1.8723000000000001</v>
      </c>
      <c r="AO54">
        <v>30</v>
      </c>
      <c r="AP54">
        <v>21.87</v>
      </c>
      <c r="AQ54">
        <v>0.72</v>
      </c>
      <c r="AR54">
        <v>-5.93</v>
      </c>
      <c r="AS54">
        <v>1.97</v>
      </c>
      <c r="AT54">
        <v>22.41</v>
      </c>
      <c r="AU54">
        <v>6666.69</v>
      </c>
      <c r="AV54">
        <v>35.81</v>
      </c>
      <c r="AW54">
        <v>13.24</v>
      </c>
      <c r="AX54">
        <v>9.73</v>
      </c>
      <c r="AY54">
        <v>22.19304</v>
      </c>
      <c r="AZ54">
        <v>91.107635999999999</v>
      </c>
      <c r="BA54">
        <v>-13.183294</v>
      </c>
      <c r="BB54">
        <v>-1.3235980000000001</v>
      </c>
      <c r="BC54">
        <v>13.183294</v>
      </c>
      <c r="BD54">
        <v>34.054893999999997</v>
      </c>
      <c r="BE54">
        <v>178.41612799999999</v>
      </c>
      <c r="BF54">
        <v>-9.4195019999999996</v>
      </c>
      <c r="BG54">
        <v>4.8515560000000004</v>
      </c>
      <c r="BH54">
        <v>9.4195019999999996</v>
      </c>
    </row>
    <row r="55" spans="1:60" x14ac:dyDescent="0.25">
      <c r="A55" t="s">
        <v>168</v>
      </c>
      <c r="B55" t="s">
        <v>169</v>
      </c>
      <c r="C55">
        <v>12</v>
      </c>
      <c r="D55" t="s">
        <v>147</v>
      </c>
      <c r="E55" cm="1">
        <f t="array" ref="E55">_xlfn.SWITCH(D55,"QPSK",0.1,"16QAM",0.25,"64QAM",0.5,"256QAM",0.8,"1024QAM",1,"")</f>
        <v>0.25</v>
      </c>
      <c r="F55" cm="1">
        <f t="array" ref="F55">_xlfn.SWITCH(D55,"QPSK",0.05,"16QAM",0.15,"64QAM",0.4,"256QAM",0.75,"1024QAM",1,"")</f>
        <v>0.15</v>
      </c>
      <c r="G55" t="s">
        <v>60</v>
      </c>
      <c r="H55">
        <v>8</v>
      </c>
      <c r="I55" t="s">
        <v>61</v>
      </c>
      <c r="J55">
        <v>2</v>
      </c>
      <c r="K55">
        <v>2</v>
      </c>
      <c r="L55" t="s">
        <v>62</v>
      </c>
      <c r="M55">
        <v>2</v>
      </c>
      <c r="N55">
        <v>0.47849999999999998</v>
      </c>
      <c r="O55">
        <v>0.48220000000000002</v>
      </c>
      <c r="P55">
        <v>5000</v>
      </c>
      <c r="Q55">
        <v>3567</v>
      </c>
      <c r="R55">
        <v>1433</v>
      </c>
      <c r="S55">
        <v>1.4</v>
      </c>
      <c r="T55">
        <v>0.4</v>
      </c>
      <c r="W55">
        <v>3567</v>
      </c>
      <c r="X55">
        <v>0</v>
      </c>
      <c r="Y55">
        <v>28.66</v>
      </c>
      <c r="Z55">
        <v>0</v>
      </c>
      <c r="AB55">
        <v>120360000</v>
      </c>
      <c r="AC55">
        <v>85864824</v>
      </c>
      <c r="AD55">
        <v>120360000</v>
      </c>
      <c r="AE55">
        <v>85864824</v>
      </c>
      <c r="AG55">
        <v>100</v>
      </c>
      <c r="AH55">
        <v>71.34</v>
      </c>
      <c r="AI55">
        <v>1</v>
      </c>
      <c r="AJ55">
        <v>1.4017379999999999</v>
      </c>
      <c r="AK55">
        <v>0.34399999999999997</v>
      </c>
      <c r="AL55">
        <v>17.170000000000002</v>
      </c>
      <c r="AM55">
        <v>17173</v>
      </c>
      <c r="AN55">
        <v>1.8347</v>
      </c>
      <c r="AO55">
        <v>30</v>
      </c>
      <c r="AP55">
        <v>21.87</v>
      </c>
      <c r="AQ55">
        <v>0.72</v>
      </c>
      <c r="AR55">
        <v>-5.93</v>
      </c>
      <c r="AS55">
        <v>1.97</v>
      </c>
      <c r="AT55">
        <v>22.46</v>
      </c>
      <c r="AU55">
        <v>6666.69</v>
      </c>
      <c r="AV55">
        <v>35.81</v>
      </c>
      <c r="AW55">
        <v>13.24</v>
      </c>
      <c r="AX55">
        <v>9.73</v>
      </c>
      <c r="AY55">
        <v>22.19866</v>
      </c>
      <c r="AZ55">
        <v>91.610752000000005</v>
      </c>
      <c r="BA55">
        <v>-13.181054</v>
      </c>
      <c r="BB55">
        <v>-1.2893079999999999</v>
      </c>
      <c r="BC55">
        <v>13.181054</v>
      </c>
      <c r="BD55">
        <v>34.048757999999999</v>
      </c>
      <c r="BE55">
        <v>177.968174</v>
      </c>
      <c r="BF55">
        <v>-9.4214640000000003</v>
      </c>
      <c r="BG55">
        <v>4.8305160000000003</v>
      </c>
      <c r="BH55">
        <v>9.4214640000000003</v>
      </c>
    </row>
    <row r="56" spans="1:60" x14ac:dyDescent="0.25">
      <c r="A56" t="s">
        <v>170</v>
      </c>
      <c r="B56" t="s">
        <v>171</v>
      </c>
      <c r="C56">
        <v>14</v>
      </c>
      <c r="D56" t="s">
        <v>147</v>
      </c>
      <c r="E56" cm="1">
        <f t="array" ref="E56">_xlfn.SWITCH(D56,"QPSK",0.1,"16QAM",0.25,"64QAM",0.5,"256QAM",0.8,"1024QAM",1,"")</f>
        <v>0.25</v>
      </c>
      <c r="F56" cm="1">
        <f t="array" ref="F56">_xlfn.SWITCH(D56,"QPSK",0.05,"16QAM",0.15,"64QAM",0.4,"256QAM",0.75,"1024QAM",1,"")</f>
        <v>0.15</v>
      </c>
      <c r="G56" t="s">
        <v>60</v>
      </c>
      <c r="H56">
        <v>1</v>
      </c>
      <c r="I56" t="s">
        <v>61</v>
      </c>
      <c r="J56">
        <v>2</v>
      </c>
      <c r="K56">
        <v>2</v>
      </c>
      <c r="L56" t="s">
        <v>62</v>
      </c>
      <c r="M56">
        <v>2</v>
      </c>
      <c r="N56">
        <v>0.47849999999999998</v>
      </c>
      <c r="O56">
        <v>0.48220000000000002</v>
      </c>
      <c r="P56">
        <v>5000</v>
      </c>
      <c r="Q56">
        <v>4310</v>
      </c>
      <c r="R56">
        <v>690</v>
      </c>
      <c r="S56">
        <v>1.1599999999999999</v>
      </c>
      <c r="T56">
        <v>0.16</v>
      </c>
      <c r="W56">
        <v>4310</v>
      </c>
      <c r="X56">
        <v>0</v>
      </c>
      <c r="Y56">
        <v>13.8</v>
      </c>
      <c r="Z56">
        <v>0</v>
      </c>
      <c r="AB56">
        <v>120360000</v>
      </c>
      <c r="AC56">
        <v>103750320</v>
      </c>
      <c r="AD56">
        <v>120360000</v>
      </c>
      <c r="AE56">
        <v>103750320</v>
      </c>
      <c r="AG56">
        <v>100</v>
      </c>
      <c r="AH56">
        <v>86.2</v>
      </c>
      <c r="AI56">
        <v>1</v>
      </c>
      <c r="AJ56">
        <v>1.160093</v>
      </c>
      <c r="AK56">
        <v>0.41570000000000001</v>
      </c>
      <c r="AL56">
        <v>20.75</v>
      </c>
      <c r="AM56">
        <v>20750</v>
      </c>
      <c r="AN56">
        <v>2.2168999999999999</v>
      </c>
      <c r="AO56">
        <v>30</v>
      </c>
      <c r="AP56">
        <v>21.87</v>
      </c>
      <c r="AQ56">
        <v>0.72</v>
      </c>
      <c r="AR56">
        <v>-5.94</v>
      </c>
      <c r="AS56">
        <v>1.96</v>
      </c>
      <c r="AT56">
        <v>22.57</v>
      </c>
      <c r="AU56">
        <v>6666.69</v>
      </c>
      <c r="AV56">
        <v>35.81</v>
      </c>
      <c r="AW56">
        <v>14.29</v>
      </c>
      <c r="AX56">
        <v>10.210000000000001</v>
      </c>
      <c r="AY56">
        <v>19.705629999999999</v>
      </c>
      <c r="AZ56">
        <v>85.632288000000003</v>
      </c>
      <c r="BA56">
        <v>-14.251875999999999</v>
      </c>
      <c r="BB56">
        <v>-1.8654820000000001</v>
      </c>
      <c r="BC56">
        <v>14.251875999999999</v>
      </c>
      <c r="BD56">
        <v>32.173754000000002</v>
      </c>
      <c r="BE56">
        <v>173.834418</v>
      </c>
      <c r="BF56">
        <v>-9.9285040000000002</v>
      </c>
      <c r="BG56">
        <v>4.6175800000000002</v>
      </c>
      <c r="BH56">
        <v>9.9285040000000002</v>
      </c>
    </row>
    <row r="57" spans="1:60" x14ac:dyDescent="0.25">
      <c r="A57" t="s">
        <v>172</v>
      </c>
      <c r="B57" t="s">
        <v>173</v>
      </c>
      <c r="C57">
        <v>14</v>
      </c>
      <c r="D57" t="s">
        <v>147</v>
      </c>
      <c r="E57" cm="1">
        <f t="array" ref="E57">_xlfn.SWITCH(D57,"QPSK",0.1,"16QAM",0.25,"64QAM",0.5,"256QAM",0.8,"1024QAM",1,"")</f>
        <v>0.25</v>
      </c>
      <c r="F57" cm="1">
        <f t="array" ref="F57">_xlfn.SWITCH(D57,"QPSK",0.05,"16QAM",0.15,"64QAM",0.4,"256QAM",0.75,"1024QAM",1,"")</f>
        <v>0.15</v>
      </c>
      <c r="G57" t="s">
        <v>60</v>
      </c>
      <c r="H57">
        <v>4</v>
      </c>
      <c r="I57" t="s">
        <v>61</v>
      </c>
      <c r="J57">
        <v>2</v>
      </c>
      <c r="K57">
        <v>2</v>
      </c>
      <c r="L57" t="s">
        <v>62</v>
      </c>
      <c r="M57">
        <v>2</v>
      </c>
      <c r="N57">
        <v>0.47849999999999998</v>
      </c>
      <c r="O57">
        <v>0.48220000000000002</v>
      </c>
      <c r="P57">
        <v>5000</v>
      </c>
      <c r="Q57">
        <v>4268</v>
      </c>
      <c r="R57">
        <v>732</v>
      </c>
      <c r="S57">
        <v>1.17</v>
      </c>
      <c r="T57">
        <v>0.17</v>
      </c>
      <c r="W57">
        <v>4268</v>
      </c>
      <c r="X57">
        <v>0</v>
      </c>
      <c r="Y57">
        <v>14.64</v>
      </c>
      <c r="Z57">
        <v>0</v>
      </c>
      <c r="AB57">
        <v>120360000</v>
      </c>
      <c r="AC57">
        <v>102739296</v>
      </c>
      <c r="AD57">
        <v>120360000</v>
      </c>
      <c r="AE57">
        <v>102739296</v>
      </c>
      <c r="AG57">
        <v>100</v>
      </c>
      <c r="AH57">
        <v>85.36</v>
      </c>
      <c r="AI57">
        <v>1</v>
      </c>
      <c r="AJ57">
        <v>1.1715089999999999</v>
      </c>
      <c r="AK57">
        <v>0.41160000000000002</v>
      </c>
      <c r="AL57">
        <v>20.55</v>
      </c>
      <c r="AM57">
        <v>20548</v>
      </c>
      <c r="AN57">
        <v>2.1953</v>
      </c>
      <c r="AO57">
        <v>30</v>
      </c>
      <c r="AP57">
        <v>21.87</v>
      </c>
      <c r="AQ57">
        <v>0.72</v>
      </c>
      <c r="AR57">
        <v>-5.94</v>
      </c>
      <c r="AS57">
        <v>1.96</v>
      </c>
      <c r="AT57">
        <v>22.62</v>
      </c>
      <c r="AU57">
        <v>6666.69</v>
      </c>
      <c r="AV57">
        <v>35.81</v>
      </c>
      <c r="AW57">
        <v>14.29</v>
      </c>
      <c r="AX57">
        <v>10.210000000000001</v>
      </c>
      <c r="AY57">
        <v>19.699472</v>
      </c>
      <c r="AZ57">
        <v>85.563203999999999</v>
      </c>
      <c r="BA57">
        <v>-14.254481999999999</v>
      </c>
      <c r="BB57">
        <v>-1.882668</v>
      </c>
      <c r="BC57">
        <v>14.254481999999999</v>
      </c>
      <c r="BD57">
        <v>32.178615999999998</v>
      </c>
      <c r="BE57">
        <v>173.781318</v>
      </c>
      <c r="BF57">
        <v>-9.9268420000000006</v>
      </c>
      <c r="BG57">
        <v>4.6148280000000002</v>
      </c>
      <c r="BH57">
        <v>9.9268420000000006</v>
      </c>
    </row>
    <row r="58" spans="1:60" x14ac:dyDescent="0.25">
      <c r="A58" t="s">
        <v>174</v>
      </c>
      <c r="B58" t="s">
        <v>175</v>
      </c>
      <c r="C58">
        <v>14</v>
      </c>
      <c r="D58" t="s">
        <v>147</v>
      </c>
      <c r="E58" cm="1">
        <f t="array" ref="E58">_xlfn.SWITCH(D58,"QPSK",0.1,"16QAM",0.25,"64QAM",0.5,"256QAM",0.8,"1024QAM",1,"")</f>
        <v>0.25</v>
      </c>
      <c r="F58" cm="1">
        <f t="array" ref="F58">_xlfn.SWITCH(D58,"QPSK",0.05,"16QAM",0.15,"64QAM",0.4,"256QAM",0.75,"1024QAM",1,"")</f>
        <v>0.15</v>
      </c>
      <c r="G58" t="s">
        <v>60</v>
      </c>
      <c r="H58">
        <v>8</v>
      </c>
      <c r="I58" t="s">
        <v>61</v>
      </c>
      <c r="J58">
        <v>2</v>
      </c>
      <c r="K58">
        <v>2</v>
      </c>
      <c r="L58" t="s">
        <v>62</v>
      </c>
      <c r="M58">
        <v>2</v>
      </c>
      <c r="N58">
        <v>0.47849999999999998</v>
      </c>
      <c r="O58">
        <v>0.48220000000000002</v>
      </c>
      <c r="P58">
        <v>5000</v>
      </c>
      <c r="Q58">
        <v>4242</v>
      </c>
      <c r="R58">
        <v>758</v>
      </c>
      <c r="S58">
        <v>1.18</v>
      </c>
      <c r="T58">
        <v>0.18</v>
      </c>
      <c r="W58">
        <v>4242</v>
      </c>
      <c r="X58">
        <v>0</v>
      </c>
      <c r="Y58">
        <v>15.16</v>
      </c>
      <c r="Z58">
        <v>0</v>
      </c>
      <c r="AB58">
        <v>120360000</v>
      </c>
      <c r="AC58">
        <v>102113424</v>
      </c>
      <c r="AD58">
        <v>120360000</v>
      </c>
      <c r="AE58">
        <v>102113424</v>
      </c>
      <c r="AG58">
        <v>100</v>
      </c>
      <c r="AH58">
        <v>84.84</v>
      </c>
      <c r="AI58">
        <v>1</v>
      </c>
      <c r="AJ58">
        <v>1.1786890000000001</v>
      </c>
      <c r="AK58">
        <v>0.40910000000000002</v>
      </c>
      <c r="AL58">
        <v>20.420000000000002</v>
      </c>
      <c r="AM58">
        <v>20423</v>
      </c>
      <c r="AN58">
        <v>2.1819000000000002</v>
      </c>
      <c r="AO58">
        <v>30</v>
      </c>
      <c r="AP58">
        <v>21.87</v>
      </c>
      <c r="AQ58">
        <v>0.72</v>
      </c>
      <c r="AR58">
        <v>-5.94</v>
      </c>
      <c r="AS58">
        <v>1.96</v>
      </c>
      <c r="AT58">
        <v>22.35</v>
      </c>
      <c r="AU58">
        <v>6666.69</v>
      </c>
      <c r="AV58">
        <v>35.81</v>
      </c>
      <c r="AW58">
        <v>14.29</v>
      </c>
      <c r="AX58">
        <v>10.210000000000001</v>
      </c>
      <c r="AY58">
        <v>19.701656</v>
      </c>
      <c r="AZ58">
        <v>85.428842000000003</v>
      </c>
      <c r="BA58">
        <v>-14.252874</v>
      </c>
      <c r="BB58">
        <v>-1.8893439999999999</v>
      </c>
      <c r="BC58">
        <v>14.252874</v>
      </c>
      <c r="BD58">
        <v>32.17042</v>
      </c>
      <c r="BE58">
        <v>173.428336</v>
      </c>
      <c r="BF58">
        <v>-9.9293519999999997</v>
      </c>
      <c r="BG58">
        <v>4.5943459999999998</v>
      </c>
      <c r="BH58">
        <v>9.9293519999999997</v>
      </c>
    </row>
    <row r="59" spans="1:60" x14ac:dyDescent="0.25">
      <c r="A59" t="s">
        <v>176</v>
      </c>
      <c r="B59" t="s">
        <v>177</v>
      </c>
      <c r="C59">
        <v>16</v>
      </c>
      <c r="D59" t="s">
        <v>147</v>
      </c>
      <c r="E59" cm="1">
        <f t="array" ref="E59">_xlfn.SWITCH(D59,"QPSK",0.1,"16QAM",0.25,"64QAM",0.5,"256QAM",0.8,"1024QAM",1,"")</f>
        <v>0.25</v>
      </c>
      <c r="F59" cm="1">
        <f t="array" ref="F59">_xlfn.SWITCH(D59,"QPSK",0.05,"16QAM",0.15,"64QAM",0.4,"256QAM",0.75,"1024QAM",1,"")</f>
        <v>0.15</v>
      </c>
      <c r="G59" t="s">
        <v>60</v>
      </c>
      <c r="H59">
        <v>1</v>
      </c>
      <c r="I59" t="s">
        <v>61</v>
      </c>
      <c r="J59">
        <v>2</v>
      </c>
      <c r="K59">
        <v>2</v>
      </c>
      <c r="L59" t="s">
        <v>62</v>
      </c>
      <c r="M59">
        <v>2</v>
      </c>
      <c r="N59">
        <v>0.47849999999999998</v>
      </c>
      <c r="O59">
        <v>0.48220000000000002</v>
      </c>
      <c r="P59">
        <v>5000</v>
      </c>
      <c r="Q59">
        <v>4667</v>
      </c>
      <c r="R59">
        <v>333</v>
      </c>
      <c r="S59">
        <v>1.07</v>
      </c>
      <c r="T59">
        <v>7.0000000000000007E-2</v>
      </c>
      <c r="W59">
        <v>4667</v>
      </c>
      <c r="X59">
        <v>0</v>
      </c>
      <c r="Y59">
        <v>6.66</v>
      </c>
      <c r="Z59">
        <v>0</v>
      </c>
      <c r="AB59">
        <v>120360000</v>
      </c>
      <c r="AC59">
        <v>112344024</v>
      </c>
      <c r="AD59">
        <v>120360000</v>
      </c>
      <c r="AE59">
        <v>112344024</v>
      </c>
      <c r="AG59">
        <v>100</v>
      </c>
      <c r="AH59">
        <v>93.34</v>
      </c>
      <c r="AI59">
        <v>1</v>
      </c>
      <c r="AJ59">
        <v>1.0713520000000001</v>
      </c>
      <c r="AK59">
        <v>0.4501</v>
      </c>
      <c r="AL59">
        <v>22.47</v>
      </c>
      <c r="AM59">
        <v>22469</v>
      </c>
      <c r="AN59">
        <v>2.4005000000000001</v>
      </c>
      <c r="AO59">
        <v>30</v>
      </c>
      <c r="AP59">
        <v>21.87</v>
      </c>
      <c r="AQ59">
        <v>0.72</v>
      </c>
      <c r="AR59">
        <v>-5.95</v>
      </c>
      <c r="AS59">
        <v>1.95</v>
      </c>
      <c r="AT59">
        <v>22.83</v>
      </c>
      <c r="AU59">
        <v>6666.69</v>
      </c>
      <c r="AV59">
        <v>35.81</v>
      </c>
      <c r="AW59">
        <v>15.5</v>
      </c>
      <c r="AX59">
        <v>10.78</v>
      </c>
      <c r="AY59">
        <v>17.216570000000001</v>
      </c>
      <c r="AZ59">
        <v>78.467303999999999</v>
      </c>
      <c r="BA59">
        <v>-15.473316000000001</v>
      </c>
      <c r="BB59">
        <v>-2.6196619999999999</v>
      </c>
      <c r="BC59">
        <v>15.473316000000001</v>
      </c>
      <c r="BD59">
        <v>30.096114</v>
      </c>
      <c r="BE59">
        <v>168.267572</v>
      </c>
      <c r="BF59">
        <v>-10.542268</v>
      </c>
      <c r="BG59">
        <v>4.2945099999999998</v>
      </c>
      <c r="BH59">
        <v>10.542268</v>
      </c>
    </row>
    <row r="60" spans="1:60" x14ac:dyDescent="0.25">
      <c r="A60" t="s">
        <v>178</v>
      </c>
      <c r="B60" t="s">
        <v>179</v>
      </c>
      <c r="C60">
        <v>16</v>
      </c>
      <c r="D60" t="s">
        <v>147</v>
      </c>
      <c r="E60" cm="1">
        <f t="array" ref="E60">_xlfn.SWITCH(D60,"QPSK",0.1,"16QAM",0.25,"64QAM",0.5,"256QAM",0.8,"1024QAM",1,"")</f>
        <v>0.25</v>
      </c>
      <c r="F60" cm="1">
        <f t="array" ref="F60">_xlfn.SWITCH(D60,"QPSK",0.05,"16QAM",0.15,"64QAM",0.4,"256QAM",0.75,"1024QAM",1,"")</f>
        <v>0.15</v>
      </c>
      <c r="G60" t="s">
        <v>60</v>
      </c>
      <c r="H60">
        <v>4</v>
      </c>
      <c r="I60" t="s">
        <v>61</v>
      </c>
      <c r="J60">
        <v>2</v>
      </c>
      <c r="K60">
        <v>2</v>
      </c>
      <c r="L60" t="s">
        <v>62</v>
      </c>
      <c r="M60">
        <v>2</v>
      </c>
      <c r="N60">
        <v>0.47849999999999998</v>
      </c>
      <c r="O60">
        <v>0.48220000000000002</v>
      </c>
      <c r="P60">
        <v>5000</v>
      </c>
      <c r="Q60">
        <v>4625</v>
      </c>
      <c r="R60">
        <v>375</v>
      </c>
      <c r="S60">
        <v>1.08</v>
      </c>
      <c r="T60">
        <v>0.08</v>
      </c>
      <c r="W60">
        <v>4625</v>
      </c>
      <c r="X60">
        <v>0</v>
      </c>
      <c r="Y60">
        <v>7.5</v>
      </c>
      <c r="Z60">
        <v>0</v>
      </c>
      <c r="AB60">
        <v>120360000</v>
      </c>
      <c r="AC60">
        <v>111333000</v>
      </c>
      <c r="AD60">
        <v>120360000</v>
      </c>
      <c r="AE60">
        <v>111333000</v>
      </c>
      <c r="AG60">
        <v>100</v>
      </c>
      <c r="AH60">
        <v>92.5</v>
      </c>
      <c r="AI60">
        <v>1</v>
      </c>
      <c r="AJ60">
        <v>1.081081</v>
      </c>
      <c r="AK60">
        <v>0.44600000000000001</v>
      </c>
      <c r="AL60">
        <v>22.27</v>
      </c>
      <c r="AM60">
        <v>22267</v>
      </c>
      <c r="AN60">
        <v>2.3788999999999998</v>
      </c>
      <c r="AO60">
        <v>30</v>
      </c>
      <c r="AP60">
        <v>21.87</v>
      </c>
      <c r="AQ60">
        <v>0.72</v>
      </c>
      <c r="AR60">
        <v>-5.95</v>
      </c>
      <c r="AS60">
        <v>1.95</v>
      </c>
      <c r="AT60">
        <v>22.8</v>
      </c>
      <c r="AU60">
        <v>6666.69</v>
      </c>
      <c r="AV60">
        <v>35.81</v>
      </c>
      <c r="AW60">
        <v>15.51</v>
      </c>
      <c r="AX60">
        <v>10.78</v>
      </c>
      <c r="AY60">
        <v>17.208168000000001</v>
      </c>
      <c r="AZ60">
        <v>78.153143999999998</v>
      </c>
      <c r="BA60">
        <v>-15.477784</v>
      </c>
      <c r="BB60">
        <v>-2.6586020000000001</v>
      </c>
      <c r="BC60">
        <v>15.477784</v>
      </c>
      <c r="BD60">
        <v>30.100155999999998</v>
      </c>
      <c r="BE60">
        <v>168.16352000000001</v>
      </c>
      <c r="BF60">
        <v>-10.541468</v>
      </c>
      <c r="BG60">
        <v>4.285336</v>
      </c>
      <c r="BH60">
        <v>10.541468</v>
      </c>
    </row>
    <row r="61" spans="1:60" x14ac:dyDescent="0.25">
      <c r="A61" t="s">
        <v>180</v>
      </c>
      <c r="B61" t="s">
        <v>181</v>
      </c>
      <c r="C61">
        <v>16</v>
      </c>
      <c r="D61" t="s">
        <v>147</v>
      </c>
      <c r="E61" cm="1">
        <f t="array" ref="E61">_xlfn.SWITCH(D61,"QPSK",0.1,"16QAM",0.25,"64QAM",0.5,"256QAM",0.8,"1024QAM",1,"")</f>
        <v>0.25</v>
      </c>
      <c r="F61" cm="1">
        <f t="array" ref="F61">_xlfn.SWITCH(D61,"QPSK",0.05,"16QAM",0.15,"64QAM",0.4,"256QAM",0.75,"1024QAM",1,"")</f>
        <v>0.15</v>
      </c>
      <c r="G61" t="s">
        <v>60</v>
      </c>
      <c r="H61">
        <v>8</v>
      </c>
      <c r="I61" t="s">
        <v>61</v>
      </c>
      <c r="J61">
        <v>2</v>
      </c>
      <c r="K61">
        <v>2</v>
      </c>
      <c r="L61" t="s">
        <v>62</v>
      </c>
      <c r="M61">
        <v>2</v>
      </c>
      <c r="N61">
        <v>0.47849999999999998</v>
      </c>
      <c r="O61">
        <v>0.48220000000000002</v>
      </c>
      <c r="P61">
        <v>5000</v>
      </c>
      <c r="Q61">
        <v>4608</v>
      </c>
      <c r="R61">
        <v>392</v>
      </c>
      <c r="S61">
        <v>1.0900000000000001</v>
      </c>
      <c r="T61">
        <v>0.09</v>
      </c>
      <c r="W61">
        <v>4608</v>
      </c>
      <c r="X61">
        <v>0</v>
      </c>
      <c r="Y61">
        <v>7.84</v>
      </c>
      <c r="Z61">
        <v>0</v>
      </c>
      <c r="AB61">
        <v>120360000</v>
      </c>
      <c r="AC61">
        <v>110923776</v>
      </c>
      <c r="AD61">
        <v>120360000</v>
      </c>
      <c r="AE61">
        <v>110923776</v>
      </c>
      <c r="AG61">
        <v>100</v>
      </c>
      <c r="AH61">
        <v>92.16</v>
      </c>
      <c r="AI61">
        <v>1</v>
      </c>
      <c r="AJ61">
        <v>1.0850690000000001</v>
      </c>
      <c r="AK61">
        <v>0.44440000000000002</v>
      </c>
      <c r="AL61">
        <v>22.18</v>
      </c>
      <c r="AM61">
        <v>22185</v>
      </c>
      <c r="AN61">
        <v>2.3702000000000001</v>
      </c>
      <c r="AO61">
        <v>30</v>
      </c>
      <c r="AP61">
        <v>21.87</v>
      </c>
      <c r="AQ61">
        <v>0.72</v>
      </c>
      <c r="AR61">
        <v>-5.95</v>
      </c>
      <c r="AS61">
        <v>1.95</v>
      </c>
      <c r="AT61">
        <v>22.5</v>
      </c>
      <c r="AU61">
        <v>6666.69</v>
      </c>
      <c r="AV61">
        <v>35.81</v>
      </c>
      <c r="AW61">
        <v>15.5</v>
      </c>
      <c r="AX61">
        <v>10.78</v>
      </c>
      <c r="AY61">
        <v>17.220800000000001</v>
      </c>
      <c r="AZ61">
        <v>78.549503999999999</v>
      </c>
      <c r="BA61">
        <v>-15.471404</v>
      </c>
      <c r="BB61">
        <v>-2.6065160000000001</v>
      </c>
      <c r="BC61">
        <v>15.471404</v>
      </c>
      <c r="BD61">
        <v>30.106034000000001</v>
      </c>
      <c r="BE61">
        <v>169.003366</v>
      </c>
      <c r="BF61">
        <v>-10.54011</v>
      </c>
      <c r="BG61">
        <v>4.3267239999999996</v>
      </c>
      <c r="BH61">
        <v>10.54011</v>
      </c>
    </row>
    <row r="62" spans="1:60" x14ac:dyDescent="0.25">
      <c r="A62" t="s">
        <v>182</v>
      </c>
      <c r="B62" t="s">
        <v>183</v>
      </c>
      <c r="C62">
        <v>18</v>
      </c>
      <c r="D62" t="s">
        <v>147</v>
      </c>
      <c r="E62" cm="1">
        <f t="array" ref="E62">_xlfn.SWITCH(D62,"QPSK",0.1,"16QAM",0.25,"64QAM",0.5,"256QAM",0.8,"1024QAM",1,"")</f>
        <v>0.25</v>
      </c>
      <c r="F62" cm="1">
        <f t="array" ref="F62">_xlfn.SWITCH(D62,"QPSK",0.05,"16QAM",0.15,"64QAM",0.4,"256QAM",0.75,"1024QAM",1,"")</f>
        <v>0.15</v>
      </c>
      <c r="G62" t="s">
        <v>60</v>
      </c>
      <c r="H62">
        <v>1</v>
      </c>
      <c r="I62" t="s">
        <v>61</v>
      </c>
      <c r="J62">
        <v>2</v>
      </c>
      <c r="K62">
        <v>2</v>
      </c>
      <c r="L62" t="s">
        <v>62</v>
      </c>
      <c r="M62">
        <v>2</v>
      </c>
      <c r="N62">
        <v>0.47849999999999998</v>
      </c>
      <c r="O62">
        <v>0.48220000000000002</v>
      </c>
      <c r="P62">
        <v>5000</v>
      </c>
      <c r="Q62">
        <v>4877</v>
      </c>
      <c r="R62">
        <v>123</v>
      </c>
      <c r="S62">
        <v>1.03</v>
      </c>
      <c r="T62">
        <v>0.03</v>
      </c>
      <c r="W62">
        <v>4877</v>
      </c>
      <c r="X62">
        <v>0</v>
      </c>
      <c r="Y62">
        <v>2.46</v>
      </c>
      <c r="Z62">
        <v>0</v>
      </c>
      <c r="AB62">
        <v>120360000</v>
      </c>
      <c r="AC62">
        <v>117399144</v>
      </c>
      <c r="AD62">
        <v>120360000</v>
      </c>
      <c r="AE62">
        <v>117399144</v>
      </c>
      <c r="AG62">
        <v>100</v>
      </c>
      <c r="AH62">
        <v>97.54</v>
      </c>
      <c r="AI62">
        <v>1</v>
      </c>
      <c r="AJ62">
        <v>1.02522</v>
      </c>
      <c r="AK62">
        <v>0.4703</v>
      </c>
      <c r="AL62">
        <v>23.48</v>
      </c>
      <c r="AM62">
        <v>23480</v>
      </c>
      <c r="AN62">
        <v>2.5085000000000002</v>
      </c>
      <c r="AO62">
        <v>30</v>
      </c>
      <c r="AP62">
        <v>21.87</v>
      </c>
      <c r="AQ62">
        <v>0.72</v>
      </c>
      <c r="AR62">
        <v>-5.96</v>
      </c>
      <c r="AS62">
        <v>1.95</v>
      </c>
      <c r="AT62">
        <v>23.92</v>
      </c>
      <c r="AU62">
        <v>6666.69</v>
      </c>
      <c r="AV62">
        <v>35.81</v>
      </c>
      <c r="AW62">
        <v>16.86</v>
      </c>
      <c r="AX62">
        <v>11.48</v>
      </c>
      <c r="AY62">
        <v>14.808401999999999</v>
      </c>
      <c r="AZ62">
        <v>69.865499999999997</v>
      </c>
      <c r="BA62">
        <v>-16.841714</v>
      </c>
      <c r="BB62">
        <v>-3.6336819999999999</v>
      </c>
      <c r="BC62">
        <v>16.841714</v>
      </c>
      <c r="BD62">
        <v>27.76641</v>
      </c>
      <c r="BE62">
        <v>160.58547999999999</v>
      </c>
      <c r="BF62">
        <v>-11.29082</v>
      </c>
      <c r="BG62">
        <v>3.808738</v>
      </c>
      <c r="BH62">
        <v>11.29082</v>
      </c>
    </row>
    <row r="63" spans="1:60" x14ac:dyDescent="0.25">
      <c r="A63" t="s">
        <v>184</v>
      </c>
      <c r="B63" t="s">
        <v>185</v>
      </c>
      <c r="C63">
        <v>18</v>
      </c>
      <c r="D63" t="s">
        <v>147</v>
      </c>
      <c r="E63" cm="1">
        <f t="array" ref="E63">_xlfn.SWITCH(D63,"QPSK",0.1,"16QAM",0.25,"64QAM",0.5,"256QAM",0.8,"1024QAM",1,"")</f>
        <v>0.25</v>
      </c>
      <c r="F63" cm="1">
        <f t="array" ref="F63">_xlfn.SWITCH(D63,"QPSK",0.05,"16QAM",0.15,"64QAM",0.4,"256QAM",0.75,"1024QAM",1,"")</f>
        <v>0.15</v>
      </c>
      <c r="G63" t="s">
        <v>60</v>
      </c>
      <c r="H63">
        <v>4</v>
      </c>
      <c r="I63" t="s">
        <v>61</v>
      </c>
      <c r="J63">
        <v>2</v>
      </c>
      <c r="K63">
        <v>2</v>
      </c>
      <c r="L63" t="s">
        <v>62</v>
      </c>
      <c r="M63">
        <v>2</v>
      </c>
      <c r="N63">
        <v>0.47849999999999998</v>
      </c>
      <c r="O63">
        <v>0.48220000000000002</v>
      </c>
      <c r="P63">
        <v>5000</v>
      </c>
      <c r="Q63">
        <v>4856</v>
      </c>
      <c r="R63">
        <v>144</v>
      </c>
      <c r="S63">
        <v>1.03</v>
      </c>
      <c r="T63">
        <v>0.03</v>
      </c>
      <c r="W63">
        <v>4856</v>
      </c>
      <c r="X63">
        <v>0</v>
      </c>
      <c r="Y63">
        <v>2.88</v>
      </c>
      <c r="Z63">
        <v>0</v>
      </c>
      <c r="AB63">
        <v>120360000</v>
      </c>
      <c r="AC63">
        <v>116893632</v>
      </c>
      <c r="AD63">
        <v>120360000</v>
      </c>
      <c r="AE63">
        <v>116893632</v>
      </c>
      <c r="AG63">
        <v>100</v>
      </c>
      <c r="AH63">
        <v>97.12</v>
      </c>
      <c r="AI63">
        <v>1</v>
      </c>
      <c r="AJ63">
        <v>1.0296540000000001</v>
      </c>
      <c r="AK63">
        <v>0.46829999999999999</v>
      </c>
      <c r="AL63">
        <v>23.38</v>
      </c>
      <c r="AM63">
        <v>23379</v>
      </c>
      <c r="AN63">
        <v>2.4977</v>
      </c>
      <c r="AO63">
        <v>30</v>
      </c>
      <c r="AP63">
        <v>21.87</v>
      </c>
      <c r="AQ63">
        <v>0.72</v>
      </c>
      <c r="AR63">
        <v>-5.96</v>
      </c>
      <c r="AS63">
        <v>1.95</v>
      </c>
      <c r="AT63">
        <v>23.97</v>
      </c>
      <c r="AU63">
        <v>6666.69</v>
      </c>
      <c r="AV63">
        <v>35.81</v>
      </c>
      <c r="AW63">
        <v>16.86</v>
      </c>
      <c r="AX63">
        <v>11.48</v>
      </c>
      <c r="AY63">
        <v>14.810908</v>
      </c>
      <c r="AZ63">
        <v>69.699805999999995</v>
      </c>
      <c r="BA63">
        <v>-16.84056</v>
      </c>
      <c r="BB63">
        <v>-3.6514660000000001</v>
      </c>
      <c r="BC63">
        <v>16.84056</v>
      </c>
      <c r="BD63">
        <v>27.767783999999999</v>
      </c>
      <c r="BE63">
        <v>159.644598</v>
      </c>
      <c r="BF63">
        <v>-11.290578</v>
      </c>
      <c r="BG63">
        <v>3.7644860000000002</v>
      </c>
      <c r="BH63">
        <v>11.290578</v>
      </c>
    </row>
    <row r="64" spans="1:60" x14ac:dyDescent="0.25">
      <c r="A64" t="s">
        <v>186</v>
      </c>
      <c r="B64" t="s">
        <v>187</v>
      </c>
      <c r="C64">
        <v>18</v>
      </c>
      <c r="D64" t="s">
        <v>147</v>
      </c>
      <c r="E64" cm="1">
        <f t="array" ref="E64">_xlfn.SWITCH(D64,"QPSK",0.1,"16QAM",0.25,"64QAM",0.5,"256QAM",0.8,"1024QAM",1,"")</f>
        <v>0.25</v>
      </c>
      <c r="F64" cm="1">
        <f t="array" ref="F64">_xlfn.SWITCH(D64,"QPSK",0.05,"16QAM",0.15,"64QAM",0.4,"256QAM",0.75,"1024QAM",1,"")</f>
        <v>0.15</v>
      </c>
      <c r="G64" t="s">
        <v>60</v>
      </c>
      <c r="H64">
        <v>8</v>
      </c>
      <c r="I64" t="s">
        <v>61</v>
      </c>
      <c r="J64">
        <v>2</v>
      </c>
      <c r="K64">
        <v>2</v>
      </c>
      <c r="L64" t="s">
        <v>62</v>
      </c>
      <c r="M64">
        <v>2</v>
      </c>
      <c r="N64">
        <v>0.47849999999999998</v>
      </c>
      <c r="O64">
        <v>0.48220000000000002</v>
      </c>
      <c r="P64">
        <v>5000</v>
      </c>
      <c r="Q64">
        <v>4845</v>
      </c>
      <c r="R64">
        <v>155</v>
      </c>
      <c r="S64">
        <v>1.03</v>
      </c>
      <c r="T64">
        <v>0.03</v>
      </c>
      <c r="W64">
        <v>4845</v>
      </c>
      <c r="X64">
        <v>0</v>
      </c>
      <c r="Y64">
        <v>3.1</v>
      </c>
      <c r="Z64">
        <v>0</v>
      </c>
      <c r="AB64">
        <v>120360000</v>
      </c>
      <c r="AC64">
        <v>116628840</v>
      </c>
      <c r="AD64">
        <v>120360000</v>
      </c>
      <c r="AE64">
        <v>116628840</v>
      </c>
      <c r="AG64">
        <v>100</v>
      </c>
      <c r="AH64">
        <v>96.9</v>
      </c>
      <c r="AI64">
        <v>1</v>
      </c>
      <c r="AJ64">
        <v>1.031992</v>
      </c>
      <c r="AK64">
        <v>0.46729999999999999</v>
      </c>
      <c r="AL64">
        <v>23.33</v>
      </c>
      <c r="AM64">
        <v>23326</v>
      </c>
      <c r="AN64">
        <v>2.4921000000000002</v>
      </c>
      <c r="AO64">
        <v>30</v>
      </c>
      <c r="AP64">
        <v>21.87</v>
      </c>
      <c r="AQ64">
        <v>0.72</v>
      </c>
      <c r="AR64">
        <v>-5.96</v>
      </c>
      <c r="AS64">
        <v>1.95</v>
      </c>
      <c r="AT64">
        <v>24</v>
      </c>
      <c r="AU64">
        <v>6666.69</v>
      </c>
      <c r="AV64">
        <v>35.81</v>
      </c>
      <c r="AW64">
        <v>16.87</v>
      </c>
      <c r="AX64">
        <v>11.48</v>
      </c>
      <c r="AY64">
        <v>14.799758000000001</v>
      </c>
      <c r="AZ64">
        <v>69.589051999999995</v>
      </c>
      <c r="BA64">
        <v>-16.847348</v>
      </c>
      <c r="BB64">
        <v>-3.668358</v>
      </c>
      <c r="BC64">
        <v>16.847348</v>
      </c>
      <c r="BD64">
        <v>27.769898000000001</v>
      </c>
      <c r="BE64">
        <v>160.33221399999999</v>
      </c>
      <c r="BF64">
        <v>-11.289517999999999</v>
      </c>
      <c r="BG64">
        <v>3.8005499999999999</v>
      </c>
      <c r="BH64">
        <v>11.289517999999999</v>
      </c>
    </row>
    <row r="65" spans="1:60" x14ac:dyDescent="0.25">
      <c r="A65" t="s">
        <v>188</v>
      </c>
      <c r="B65" t="s">
        <v>153</v>
      </c>
      <c r="C65">
        <v>2</v>
      </c>
      <c r="D65" t="s">
        <v>147</v>
      </c>
      <c r="E65" cm="1">
        <f t="array" ref="E65">_xlfn.SWITCH(D65,"QPSK",0.1,"16QAM",0.25,"64QAM",0.5,"256QAM",0.8,"1024QAM",1,"")</f>
        <v>0.25</v>
      </c>
      <c r="F65" cm="1">
        <f t="array" ref="F65">_xlfn.SWITCH(D65,"QPSK",0.05,"16QAM",0.15,"64QAM",0.4,"256QAM",0.75,"1024QAM",1,"")</f>
        <v>0.15</v>
      </c>
      <c r="G65" t="s">
        <v>60</v>
      </c>
      <c r="H65">
        <v>1</v>
      </c>
      <c r="I65" t="s">
        <v>61</v>
      </c>
      <c r="J65">
        <v>2</v>
      </c>
      <c r="K65">
        <v>2</v>
      </c>
      <c r="L65" t="s">
        <v>62</v>
      </c>
      <c r="M65">
        <v>2</v>
      </c>
      <c r="N65">
        <v>0.47849999999999998</v>
      </c>
      <c r="O65">
        <v>0.48220000000000002</v>
      </c>
      <c r="P65">
        <v>5000</v>
      </c>
      <c r="Q65">
        <v>1355</v>
      </c>
      <c r="R65">
        <v>3645</v>
      </c>
      <c r="S65">
        <v>3.69</v>
      </c>
      <c r="T65">
        <v>2.69</v>
      </c>
      <c r="W65">
        <v>568</v>
      </c>
      <c r="X65">
        <v>0</v>
      </c>
      <c r="Y65">
        <v>88.64</v>
      </c>
      <c r="Z65">
        <v>58.08</v>
      </c>
      <c r="AB65">
        <v>120360000</v>
      </c>
      <c r="AC65">
        <v>13672896</v>
      </c>
      <c r="AD65">
        <v>120360000</v>
      </c>
      <c r="AE65">
        <v>13672896</v>
      </c>
      <c r="AG65">
        <v>41.92</v>
      </c>
      <c r="AH65">
        <v>11.36</v>
      </c>
      <c r="AI65">
        <v>1</v>
      </c>
      <c r="AJ65">
        <v>3.6900369999999998</v>
      </c>
      <c r="AK65">
        <v>5.4800000000000001E-2</v>
      </c>
      <c r="AL65">
        <v>2.73</v>
      </c>
      <c r="AM65">
        <v>2735</v>
      </c>
      <c r="AN65">
        <v>0.29220000000000002</v>
      </c>
      <c r="AO65">
        <v>30</v>
      </c>
      <c r="AP65">
        <v>21.87</v>
      </c>
      <c r="AQ65">
        <v>0.72</v>
      </c>
      <c r="AR65">
        <v>-5.83</v>
      </c>
      <c r="AS65">
        <v>1.89</v>
      </c>
      <c r="AT65">
        <v>13.11</v>
      </c>
      <c r="AU65">
        <v>6666.69</v>
      </c>
      <c r="AV65">
        <v>35.81</v>
      </c>
      <c r="AW65">
        <v>9.9</v>
      </c>
      <c r="AX65">
        <v>6.76</v>
      </c>
      <c r="AY65">
        <v>32.921720000000001</v>
      </c>
      <c r="AZ65">
        <v>143.62627800000001</v>
      </c>
      <c r="BA65">
        <v>-9.6726340000000004</v>
      </c>
      <c r="BB65">
        <v>2.9978039999999999</v>
      </c>
      <c r="BC65">
        <v>9.6726340000000004</v>
      </c>
      <c r="BD65">
        <v>41.796942000000001</v>
      </c>
      <c r="BE65">
        <v>250.34178399999999</v>
      </c>
      <c r="BF65">
        <v>-7.6140239999999997</v>
      </c>
      <c r="BG65">
        <v>7.7305039999999998</v>
      </c>
      <c r="BH65">
        <v>7.6140239999999997</v>
      </c>
    </row>
    <row r="66" spans="1:60" x14ac:dyDescent="0.25">
      <c r="A66" t="s">
        <v>189</v>
      </c>
      <c r="B66" t="s">
        <v>190</v>
      </c>
      <c r="C66">
        <v>2</v>
      </c>
      <c r="D66" t="s">
        <v>147</v>
      </c>
      <c r="E66" cm="1">
        <f t="array" ref="E66">_xlfn.SWITCH(D66,"QPSK",0.1,"16QAM",0.25,"64QAM",0.5,"256QAM",0.8,"1024QAM",1,"")</f>
        <v>0.25</v>
      </c>
      <c r="F66" cm="1">
        <f t="array" ref="F66">_xlfn.SWITCH(D66,"QPSK",0.05,"16QAM",0.15,"64QAM",0.4,"256QAM",0.75,"1024QAM",1,"")</f>
        <v>0.15</v>
      </c>
      <c r="G66" t="s">
        <v>60</v>
      </c>
      <c r="H66">
        <v>4</v>
      </c>
      <c r="I66" t="s">
        <v>61</v>
      </c>
      <c r="J66">
        <v>2</v>
      </c>
      <c r="K66">
        <v>2</v>
      </c>
      <c r="L66" t="s">
        <v>62</v>
      </c>
      <c r="M66">
        <v>2</v>
      </c>
      <c r="N66">
        <v>0.47849999999999998</v>
      </c>
      <c r="O66">
        <v>0.48220000000000002</v>
      </c>
      <c r="P66">
        <v>5000</v>
      </c>
      <c r="Q66">
        <v>1355</v>
      </c>
      <c r="R66">
        <v>3645</v>
      </c>
      <c r="S66">
        <v>3.69</v>
      </c>
      <c r="T66">
        <v>2.69</v>
      </c>
      <c r="W66">
        <v>558</v>
      </c>
      <c r="X66">
        <v>0</v>
      </c>
      <c r="Y66">
        <v>88.84</v>
      </c>
      <c r="Z66">
        <v>58.82</v>
      </c>
      <c r="AB66">
        <v>120360000</v>
      </c>
      <c r="AC66">
        <v>13432176</v>
      </c>
      <c r="AD66">
        <v>120360000</v>
      </c>
      <c r="AE66">
        <v>13432176</v>
      </c>
      <c r="AG66">
        <v>41.18</v>
      </c>
      <c r="AH66">
        <v>11.16</v>
      </c>
      <c r="AI66">
        <v>1</v>
      </c>
      <c r="AJ66">
        <v>3.6900369999999998</v>
      </c>
      <c r="AK66">
        <v>5.3800000000000001E-2</v>
      </c>
      <c r="AL66">
        <v>2.69</v>
      </c>
      <c r="AM66">
        <v>2686</v>
      </c>
      <c r="AN66">
        <v>0.28699999999999998</v>
      </c>
      <c r="AO66">
        <v>30</v>
      </c>
      <c r="AP66">
        <v>21.87</v>
      </c>
      <c r="AQ66">
        <v>0.72</v>
      </c>
      <c r="AR66">
        <v>-5.83</v>
      </c>
      <c r="AS66">
        <v>1.89</v>
      </c>
      <c r="AT66">
        <v>13.12</v>
      </c>
      <c r="AU66">
        <v>6666.69</v>
      </c>
      <c r="AV66">
        <v>35.81</v>
      </c>
      <c r="AW66">
        <v>9.9</v>
      </c>
      <c r="AX66">
        <v>6.76</v>
      </c>
      <c r="AY66">
        <v>32.927925999999999</v>
      </c>
      <c r="AZ66">
        <v>143.68536599999999</v>
      </c>
      <c r="BA66">
        <v>-9.6711600000000004</v>
      </c>
      <c r="BB66">
        <v>2.9982259999999998</v>
      </c>
      <c r="BC66">
        <v>9.6711600000000004</v>
      </c>
      <c r="BD66">
        <v>41.782398000000001</v>
      </c>
      <c r="BE66">
        <v>249.512092</v>
      </c>
      <c r="BF66">
        <v>-7.6163980000000002</v>
      </c>
      <c r="BG66">
        <v>7.7078980000000001</v>
      </c>
      <c r="BH66">
        <v>7.6163980000000002</v>
      </c>
    </row>
    <row r="67" spans="1:60" x14ac:dyDescent="0.25">
      <c r="A67" t="s">
        <v>191</v>
      </c>
      <c r="B67" t="s">
        <v>192</v>
      </c>
      <c r="C67">
        <v>2</v>
      </c>
      <c r="D67" t="s">
        <v>147</v>
      </c>
      <c r="E67" cm="1">
        <f t="array" ref="E67">_xlfn.SWITCH(D67,"QPSK",0.1,"16QAM",0.25,"64QAM",0.5,"256QAM",0.8,"1024QAM",1,"")</f>
        <v>0.25</v>
      </c>
      <c r="F67" cm="1">
        <f t="array" ref="F67">_xlfn.SWITCH(D67,"QPSK",0.05,"16QAM",0.15,"64QAM",0.4,"256QAM",0.75,"1024QAM",1,"")</f>
        <v>0.15</v>
      </c>
      <c r="G67" t="s">
        <v>60</v>
      </c>
      <c r="H67">
        <v>8</v>
      </c>
      <c r="I67" t="s">
        <v>61</v>
      </c>
      <c r="J67">
        <v>2</v>
      </c>
      <c r="K67">
        <v>2</v>
      </c>
      <c r="L67" t="s">
        <v>62</v>
      </c>
      <c r="M67">
        <v>2</v>
      </c>
      <c r="N67">
        <v>0.47849999999999998</v>
      </c>
      <c r="O67">
        <v>0.48220000000000002</v>
      </c>
      <c r="P67">
        <v>5000</v>
      </c>
      <c r="Q67">
        <v>1349</v>
      </c>
      <c r="R67">
        <v>3651</v>
      </c>
      <c r="S67">
        <v>3.71</v>
      </c>
      <c r="T67">
        <v>2.71</v>
      </c>
      <c r="W67">
        <v>539</v>
      </c>
      <c r="X67">
        <v>0</v>
      </c>
      <c r="Y67">
        <v>89.22</v>
      </c>
      <c r="Z67">
        <v>60.04</v>
      </c>
      <c r="AB67">
        <v>120360000</v>
      </c>
      <c r="AC67">
        <v>12974808</v>
      </c>
      <c r="AD67">
        <v>120360000</v>
      </c>
      <c r="AE67">
        <v>12974808</v>
      </c>
      <c r="AG67">
        <v>39.96</v>
      </c>
      <c r="AH67">
        <v>10.78</v>
      </c>
      <c r="AI67">
        <v>1</v>
      </c>
      <c r="AJ67">
        <v>3.7064490000000001</v>
      </c>
      <c r="AK67">
        <v>5.1999999999999998E-2</v>
      </c>
      <c r="AL67">
        <v>2.59</v>
      </c>
      <c r="AM67">
        <v>2595</v>
      </c>
      <c r="AN67">
        <v>0.2772</v>
      </c>
      <c r="AO67">
        <v>30</v>
      </c>
      <c r="AP67">
        <v>21.87</v>
      </c>
      <c r="AQ67">
        <v>0.72</v>
      </c>
      <c r="AR67">
        <v>-5.83</v>
      </c>
      <c r="AS67">
        <v>1.89</v>
      </c>
      <c r="AT67">
        <v>13.03</v>
      </c>
      <c r="AU67">
        <v>6666.69</v>
      </c>
      <c r="AV67">
        <v>35.81</v>
      </c>
      <c r="AW67">
        <v>9.9</v>
      </c>
      <c r="AX67">
        <v>6.75</v>
      </c>
      <c r="AY67">
        <v>32.922257999999999</v>
      </c>
      <c r="AZ67">
        <v>143.82842199999999</v>
      </c>
      <c r="BA67">
        <v>-9.6724300000000003</v>
      </c>
      <c r="BB67">
        <v>3.0084399999999998</v>
      </c>
      <c r="BC67">
        <v>9.6724300000000003</v>
      </c>
      <c r="BD67">
        <v>41.825277999999997</v>
      </c>
      <c r="BE67">
        <v>250.012564</v>
      </c>
      <c r="BF67">
        <v>-7.6081940000000001</v>
      </c>
      <c r="BG67">
        <v>7.719932</v>
      </c>
      <c r="BH67">
        <v>7.6081940000000001</v>
      </c>
    </row>
    <row r="68" spans="1:60" x14ac:dyDescent="0.25">
      <c r="A68" t="s">
        <v>193</v>
      </c>
      <c r="B68" t="s">
        <v>194</v>
      </c>
      <c r="C68">
        <v>20</v>
      </c>
      <c r="D68" t="s">
        <v>147</v>
      </c>
      <c r="E68" cm="1">
        <f t="array" ref="E68">_xlfn.SWITCH(D68,"QPSK",0.1,"16QAM",0.25,"64QAM",0.5,"256QAM",0.8,"1024QAM",1,"")</f>
        <v>0.25</v>
      </c>
      <c r="F68" cm="1">
        <f t="array" ref="F68">_xlfn.SWITCH(D68,"QPSK",0.05,"16QAM",0.15,"64QAM",0.4,"256QAM",0.75,"1024QAM",1,"")</f>
        <v>0.15</v>
      </c>
      <c r="G68" t="s">
        <v>60</v>
      </c>
      <c r="H68">
        <v>1</v>
      </c>
      <c r="I68" t="s">
        <v>61</v>
      </c>
      <c r="J68">
        <v>2</v>
      </c>
      <c r="K68">
        <v>2</v>
      </c>
      <c r="L68" t="s">
        <v>62</v>
      </c>
      <c r="M68">
        <v>2</v>
      </c>
      <c r="N68">
        <v>0.47849999999999998</v>
      </c>
      <c r="O68">
        <v>0.48220000000000002</v>
      </c>
      <c r="P68">
        <v>5000</v>
      </c>
      <c r="Q68">
        <v>4969</v>
      </c>
      <c r="R68">
        <v>31</v>
      </c>
      <c r="S68">
        <v>1.01</v>
      </c>
      <c r="T68">
        <v>0.01</v>
      </c>
      <c r="W68">
        <v>4969</v>
      </c>
      <c r="X68">
        <v>0</v>
      </c>
      <c r="Y68">
        <v>0.62</v>
      </c>
      <c r="Z68">
        <v>0</v>
      </c>
      <c r="AB68">
        <v>120360000</v>
      </c>
      <c r="AC68">
        <v>119613768</v>
      </c>
      <c r="AD68">
        <v>120360000</v>
      </c>
      <c r="AE68">
        <v>119613768</v>
      </c>
      <c r="AG68">
        <v>100</v>
      </c>
      <c r="AH68">
        <v>99.38</v>
      </c>
      <c r="AI68">
        <v>1</v>
      </c>
      <c r="AJ68">
        <v>1.0062390000000001</v>
      </c>
      <c r="AK68">
        <v>0.47920000000000001</v>
      </c>
      <c r="AL68">
        <v>23.92</v>
      </c>
      <c r="AM68">
        <v>23923</v>
      </c>
      <c r="AN68">
        <v>2.5558000000000001</v>
      </c>
      <c r="AO68">
        <v>30</v>
      </c>
      <c r="AP68">
        <v>21.87</v>
      </c>
      <c r="AQ68">
        <v>0.72</v>
      </c>
      <c r="AR68">
        <v>-5.97</v>
      </c>
      <c r="AS68">
        <v>1.95</v>
      </c>
      <c r="AT68">
        <v>25.4</v>
      </c>
      <c r="AU68">
        <v>6666.69</v>
      </c>
      <c r="AV68">
        <v>35.81</v>
      </c>
      <c r="AW68">
        <v>18.32</v>
      </c>
      <c r="AX68">
        <v>12.3</v>
      </c>
      <c r="AY68">
        <v>12.590464000000001</v>
      </c>
      <c r="AZ68">
        <v>60.989856000000003</v>
      </c>
      <c r="BA68">
        <v>-18.302963999999999</v>
      </c>
      <c r="BB68">
        <v>-4.815124</v>
      </c>
      <c r="BC68">
        <v>18.302963999999999</v>
      </c>
      <c r="BD68">
        <v>25.275462000000001</v>
      </c>
      <c r="BE68">
        <v>149.97188800000001</v>
      </c>
      <c r="BF68">
        <v>-12.160081999999999</v>
      </c>
      <c r="BG68">
        <v>3.1350039999999999</v>
      </c>
      <c r="BH68">
        <v>12.160081999999999</v>
      </c>
    </row>
    <row r="69" spans="1:60" x14ac:dyDescent="0.25">
      <c r="A69" t="s">
        <v>195</v>
      </c>
      <c r="B69" t="s">
        <v>196</v>
      </c>
      <c r="C69">
        <v>20</v>
      </c>
      <c r="D69" t="s">
        <v>147</v>
      </c>
      <c r="E69" cm="1">
        <f t="array" ref="E69">_xlfn.SWITCH(D69,"QPSK",0.1,"16QAM",0.25,"64QAM",0.5,"256QAM",0.8,"1024QAM",1,"")</f>
        <v>0.25</v>
      </c>
      <c r="F69" cm="1">
        <f t="array" ref="F69">_xlfn.SWITCH(D69,"QPSK",0.05,"16QAM",0.15,"64QAM",0.4,"256QAM",0.75,"1024QAM",1,"")</f>
        <v>0.15</v>
      </c>
      <c r="G69" t="s">
        <v>60</v>
      </c>
      <c r="H69">
        <v>4</v>
      </c>
      <c r="I69" t="s">
        <v>61</v>
      </c>
      <c r="J69">
        <v>2</v>
      </c>
      <c r="K69">
        <v>2</v>
      </c>
      <c r="L69" t="s">
        <v>62</v>
      </c>
      <c r="M69">
        <v>2</v>
      </c>
      <c r="N69">
        <v>0.47849999999999998</v>
      </c>
      <c r="O69">
        <v>0.48220000000000002</v>
      </c>
      <c r="P69">
        <v>5000</v>
      </c>
      <c r="Q69">
        <v>4963</v>
      </c>
      <c r="R69">
        <v>37</v>
      </c>
      <c r="S69">
        <v>1.01</v>
      </c>
      <c r="T69">
        <v>0.01</v>
      </c>
      <c r="W69">
        <v>4963</v>
      </c>
      <c r="X69">
        <v>0</v>
      </c>
      <c r="Y69">
        <v>0.74</v>
      </c>
      <c r="Z69">
        <v>0</v>
      </c>
      <c r="AB69">
        <v>120360000</v>
      </c>
      <c r="AC69">
        <v>119469336</v>
      </c>
      <c r="AD69">
        <v>120360000</v>
      </c>
      <c r="AE69">
        <v>119469336</v>
      </c>
      <c r="AG69">
        <v>100</v>
      </c>
      <c r="AH69">
        <v>99.26</v>
      </c>
      <c r="AI69">
        <v>1</v>
      </c>
      <c r="AJ69">
        <v>1.007455</v>
      </c>
      <c r="AK69">
        <v>0.47860000000000003</v>
      </c>
      <c r="AL69">
        <v>23.89</v>
      </c>
      <c r="AM69">
        <v>23894</v>
      </c>
      <c r="AN69">
        <v>2.5528</v>
      </c>
      <c r="AO69">
        <v>30</v>
      </c>
      <c r="AP69">
        <v>21.87</v>
      </c>
      <c r="AQ69">
        <v>0.72</v>
      </c>
      <c r="AR69">
        <v>-5.97</v>
      </c>
      <c r="AS69">
        <v>1.95</v>
      </c>
      <c r="AT69">
        <v>25.72</v>
      </c>
      <c r="AU69">
        <v>6666.69</v>
      </c>
      <c r="AV69">
        <v>35.81</v>
      </c>
      <c r="AW69">
        <v>18.32</v>
      </c>
      <c r="AX69">
        <v>12.31</v>
      </c>
      <c r="AY69">
        <v>12.581086000000001</v>
      </c>
      <c r="AZ69">
        <v>60.705573999999999</v>
      </c>
      <c r="BA69">
        <v>-18.309750000000001</v>
      </c>
      <c r="BB69">
        <v>-4.8639219999999996</v>
      </c>
      <c r="BC69">
        <v>18.309750000000001</v>
      </c>
      <c r="BD69">
        <v>25.270645999999999</v>
      </c>
      <c r="BE69">
        <v>148.92464799999999</v>
      </c>
      <c r="BF69">
        <v>-12.162628</v>
      </c>
      <c r="BG69">
        <v>3.07823</v>
      </c>
      <c r="BH69">
        <v>12.162628</v>
      </c>
    </row>
    <row r="70" spans="1:60" x14ac:dyDescent="0.25">
      <c r="A70" t="s">
        <v>197</v>
      </c>
      <c r="B70" t="s">
        <v>198</v>
      </c>
      <c r="C70">
        <v>20</v>
      </c>
      <c r="D70" t="s">
        <v>147</v>
      </c>
      <c r="E70" cm="1">
        <f t="array" ref="E70">_xlfn.SWITCH(D70,"QPSK",0.1,"16QAM",0.25,"64QAM",0.5,"256QAM",0.8,"1024QAM",1,"")</f>
        <v>0.25</v>
      </c>
      <c r="F70" cm="1">
        <f t="array" ref="F70">_xlfn.SWITCH(D70,"QPSK",0.05,"16QAM",0.15,"64QAM",0.4,"256QAM",0.75,"1024QAM",1,"")</f>
        <v>0.15</v>
      </c>
      <c r="G70" t="s">
        <v>60</v>
      </c>
      <c r="H70">
        <v>8</v>
      </c>
      <c r="I70" t="s">
        <v>61</v>
      </c>
      <c r="J70">
        <v>2</v>
      </c>
      <c r="K70">
        <v>2</v>
      </c>
      <c r="L70" t="s">
        <v>62</v>
      </c>
      <c r="M70">
        <v>2</v>
      </c>
      <c r="N70">
        <v>0.47849999999999998</v>
      </c>
      <c r="O70">
        <v>0.48220000000000002</v>
      </c>
      <c r="P70">
        <v>5000</v>
      </c>
      <c r="Q70">
        <v>4956</v>
      </c>
      <c r="R70">
        <v>44</v>
      </c>
      <c r="S70">
        <v>1.01</v>
      </c>
      <c r="T70">
        <v>0.01</v>
      </c>
      <c r="W70">
        <v>4956</v>
      </c>
      <c r="X70">
        <v>0</v>
      </c>
      <c r="Y70">
        <v>0.88</v>
      </c>
      <c r="Z70">
        <v>0</v>
      </c>
      <c r="AB70">
        <v>120360000</v>
      </c>
      <c r="AC70">
        <v>119300832</v>
      </c>
      <c r="AD70">
        <v>120360000</v>
      </c>
      <c r="AE70">
        <v>119300832</v>
      </c>
      <c r="AG70">
        <v>100</v>
      </c>
      <c r="AH70">
        <v>99.12</v>
      </c>
      <c r="AI70">
        <v>1</v>
      </c>
      <c r="AJ70">
        <v>1.0088779999999999</v>
      </c>
      <c r="AK70">
        <v>0.47799999999999998</v>
      </c>
      <c r="AL70">
        <v>23.86</v>
      </c>
      <c r="AM70">
        <v>23860</v>
      </c>
      <c r="AN70">
        <v>2.5491999999999999</v>
      </c>
      <c r="AO70">
        <v>30</v>
      </c>
      <c r="AP70">
        <v>21.87</v>
      </c>
      <c r="AQ70">
        <v>0.72</v>
      </c>
      <c r="AR70">
        <v>-5.97</v>
      </c>
      <c r="AS70">
        <v>1.95</v>
      </c>
      <c r="AT70">
        <v>25.61</v>
      </c>
      <c r="AU70">
        <v>6666.69</v>
      </c>
      <c r="AV70">
        <v>35.81</v>
      </c>
      <c r="AW70">
        <v>18.32</v>
      </c>
      <c r="AX70">
        <v>12.3</v>
      </c>
      <c r="AY70">
        <v>12.579409999999999</v>
      </c>
      <c r="AZ70">
        <v>60.544637999999999</v>
      </c>
      <c r="BA70">
        <v>-18.310314000000002</v>
      </c>
      <c r="BB70">
        <v>-4.878374</v>
      </c>
      <c r="BC70">
        <v>18.310314000000002</v>
      </c>
      <c r="BD70">
        <v>25.281310000000001</v>
      </c>
      <c r="BE70">
        <v>149.034246</v>
      </c>
      <c r="BF70">
        <v>-12.159022</v>
      </c>
      <c r="BG70">
        <v>3.084276</v>
      </c>
      <c r="BH70">
        <v>12.159022</v>
      </c>
    </row>
    <row r="71" spans="1:60" x14ac:dyDescent="0.25">
      <c r="A71" t="s">
        <v>199</v>
      </c>
      <c r="B71" t="s">
        <v>200</v>
      </c>
      <c r="C71">
        <v>22</v>
      </c>
      <c r="D71" t="s">
        <v>147</v>
      </c>
      <c r="E71" cm="1">
        <f t="array" ref="E71">_xlfn.SWITCH(D71,"QPSK",0.1,"16QAM",0.25,"64QAM",0.5,"256QAM",0.8,"1024QAM",1,"")</f>
        <v>0.25</v>
      </c>
      <c r="F71" cm="1">
        <f t="array" ref="F71">_xlfn.SWITCH(D71,"QPSK",0.05,"16QAM",0.15,"64QAM",0.4,"256QAM",0.75,"1024QAM",1,"")</f>
        <v>0.15</v>
      </c>
      <c r="G71" t="s">
        <v>60</v>
      </c>
      <c r="H71">
        <v>1</v>
      </c>
      <c r="I71" t="s">
        <v>61</v>
      </c>
      <c r="J71">
        <v>2</v>
      </c>
      <c r="K71">
        <v>2</v>
      </c>
      <c r="L71" t="s">
        <v>62</v>
      </c>
      <c r="M71">
        <v>2</v>
      </c>
      <c r="N71">
        <v>0.47849999999999998</v>
      </c>
      <c r="O71">
        <v>0.48220000000000002</v>
      </c>
      <c r="P71">
        <v>5000</v>
      </c>
      <c r="Q71">
        <v>4994</v>
      </c>
      <c r="R71">
        <v>6</v>
      </c>
      <c r="S71">
        <v>1</v>
      </c>
      <c r="T71">
        <v>0</v>
      </c>
      <c r="W71">
        <v>4994</v>
      </c>
      <c r="X71">
        <v>0</v>
      </c>
      <c r="Y71">
        <v>0.12</v>
      </c>
      <c r="Z71">
        <v>0</v>
      </c>
      <c r="AB71">
        <v>120360000</v>
      </c>
      <c r="AC71">
        <v>120215568</v>
      </c>
      <c r="AD71">
        <v>120360000</v>
      </c>
      <c r="AE71">
        <v>120215568</v>
      </c>
      <c r="AG71">
        <v>100</v>
      </c>
      <c r="AH71">
        <v>99.88</v>
      </c>
      <c r="AI71">
        <v>1</v>
      </c>
      <c r="AJ71">
        <v>1.001201</v>
      </c>
      <c r="AK71">
        <v>0.48159999999999997</v>
      </c>
      <c r="AL71">
        <v>24.04</v>
      </c>
      <c r="AM71">
        <v>24043</v>
      </c>
      <c r="AN71">
        <v>2.5687000000000002</v>
      </c>
      <c r="AO71">
        <v>30</v>
      </c>
      <c r="AP71">
        <v>21.87</v>
      </c>
      <c r="AQ71">
        <v>0.72</v>
      </c>
      <c r="AR71">
        <v>-5.98</v>
      </c>
      <c r="AS71">
        <v>1.96</v>
      </c>
      <c r="AT71">
        <v>28.7</v>
      </c>
      <c r="AU71">
        <v>6666.69</v>
      </c>
      <c r="AV71">
        <v>35.81</v>
      </c>
      <c r="AW71">
        <v>19.77</v>
      </c>
      <c r="AX71">
        <v>13.2</v>
      </c>
      <c r="AY71">
        <v>10.690341999999999</v>
      </c>
      <c r="AZ71">
        <v>53.668488000000004</v>
      </c>
      <c r="BA71">
        <v>-19.758620000000001</v>
      </c>
      <c r="BB71">
        <v>-5.9389240000000001</v>
      </c>
      <c r="BC71">
        <v>19.758620000000001</v>
      </c>
      <c r="BD71">
        <v>22.823374000000001</v>
      </c>
      <c r="BE71">
        <v>139.07757799999999</v>
      </c>
      <c r="BF71">
        <v>-13.095468</v>
      </c>
      <c r="BG71">
        <v>2.40143</v>
      </c>
      <c r="BH71">
        <v>13.095468</v>
      </c>
    </row>
    <row r="72" spans="1:60" x14ac:dyDescent="0.25">
      <c r="A72" t="s">
        <v>201</v>
      </c>
      <c r="B72" t="s">
        <v>202</v>
      </c>
      <c r="C72">
        <v>22</v>
      </c>
      <c r="D72" t="s">
        <v>147</v>
      </c>
      <c r="E72" cm="1">
        <f t="array" ref="E72">_xlfn.SWITCH(D72,"QPSK",0.1,"16QAM",0.25,"64QAM",0.5,"256QAM",0.8,"1024QAM",1,"")</f>
        <v>0.25</v>
      </c>
      <c r="F72" cm="1">
        <f t="array" ref="F72">_xlfn.SWITCH(D72,"QPSK",0.05,"16QAM",0.15,"64QAM",0.4,"256QAM",0.75,"1024QAM",1,"")</f>
        <v>0.15</v>
      </c>
      <c r="G72" t="s">
        <v>60</v>
      </c>
      <c r="H72">
        <v>4</v>
      </c>
      <c r="I72" t="s">
        <v>61</v>
      </c>
      <c r="J72">
        <v>2</v>
      </c>
      <c r="K72">
        <v>2</v>
      </c>
      <c r="L72" t="s">
        <v>62</v>
      </c>
      <c r="M72">
        <v>2</v>
      </c>
      <c r="N72">
        <v>0.47849999999999998</v>
      </c>
      <c r="O72">
        <v>0.48220000000000002</v>
      </c>
      <c r="P72">
        <v>5000</v>
      </c>
      <c r="Q72">
        <v>4986</v>
      </c>
      <c r="R72">
        <v>14</v>
      </c>
      <c r="S72">
        <v>1</v>
      </c>
      <c r="T72">
        <v>0</v>
      </c>
      <c r="W72">
        <v>4986</v>
      </c>
      <c r="X72">
        <v>0</v>
      </c>
      <c r="Y72">
        <v>0.28000000000000003</v>
      </c>
      <c r="Z72">
        <v>0</v>
      </c>
      <c r="AB72">
        <v>120360000</v>
      </c>
      <c r="AC72">
        <v>120022992</v>
      </c>
      <c r="AD72">
        <v>120360000</v>
      </c>
      <c r="AE72">
        <v>120022992</v>
      </c>
      <c r="AG72">
        <v>100</v>
      </c>
      <c r="AH72">
        <v>99.72</v>
      </c>
      <c r="AI72">
        <v>1</v>
      </c>
      <c r="AJ72">
        <v>1.0028079999999999</v>
      </c>
      <c r="AK72">
        <v>0.48089999999999999</v>
      </c>
      <c r="AL72">
        <v>24</v>
      </c>
      <c r="AM72">
        <v>24005</v>
      </c>
      <c r="AN72">
        <v>2.5646</v>
      </c>
      <c r="AO72">
        <v>30</v>
      </c>
      <c r="AP72">
        <v>21.87</v>
      </c>
      <c r="AQ72">
        <v>0.72</v>
      </c>
      <c r="AR72">
        <v>-5.98</v>
      </c>
      <c r="AS72">
        <v>1.96</v>
      </c>
      <c r="AT72">
        <v>28.62</v>
      </c>
      <c r="AU72">
        <v>6666.69</v>
      </c>
      <c r="AV72">
        <v>35.81</v>
      </c>
      <c r="AW72">
        <v>19.77</v>
      </c>
      <c r="AX72">
        <v>13.2</v>
      </c>
      <c r="AY72">
        <v>10.690454000000001</v>
      </c>
      <c r="AZ72">
        <v>53.518794</v>
      </c>
      <c r="BA72">
        <v>-19.759793999999999</v>
      </c>
      <c r="BB72">
        <v>-5.963444</v>
      </c>
      <c r="BC72">
        <v>19.759793999999999</v>
      </c>
      <c r="BD72">
        <v>22.824728</v>
      </c>
      <c r="BE72">
        <v>138.97382999999999</v>
      </c>
      <c r="BF72">
        <v>-13.095718</v>
      </c>
      <c r="BG72">
        <v>2.4051979999999999</v>
      </c>
      <c r="BH72">
        <v>13.095718</v>
      </c>
    </row>
    <row r="73" spans="1:60" x14ac:dyDescent="0.25">
      <c r="A73" t="s">
        <v>203</v>
      </c>
      <c r="B73" t="s">
        <v>204</v>
      </c>
      <c r="C73">
        <v>22</v>
      </c>
      <c r="D73" t="s">
        <v>147</v>
      </c>
      <c r="E73" cm="1">
        <f t="array" ref="E73">_xlfn.SWITCH(D73,"QPSK",0.1,"16QAM",0.25,"64QAM",0.5,"256QAM",0.8,"1024QAM",1,"")</f>
        <v>0.25</v>
      </c>
      <c r="F73" cm="1">
        <f t="array" ref="F73">_xlfn.SWITCH(D73,"QPSK",0.05,"16QAM",0.15,"64QAM",0.4,"256QAM",0.75,"1024QAM",1,"")</f>
        <v>0.15</v>
      </c>
      <c r="G73" t="s">
        <v>60</v>
      </c>
      <c r="H73">
        <v>8</v>
      </c>
      <c r="I73" t="s">
        <v>61</v>
      </c>
      <c r="J73">
        <v>2</v>
      </c>
      <c r="K73">
        <v>2</v>
      </c>
      <c r="L73" t="s">
        <v>62</v>
      </c>
      <c r="M73">
        <v>2</v>
      </c>
      <c r="N73">
        <v>0.47849999999999998</v>
      </c>
      <c r="O73">
        <v>0.48220000000000002</v>
      </c>
      <c r="P73">
        <v>5000</v>
      </c>
      <c r="Q73">
        <v>4987</v>
      </c>
      <c r="R73">
        <v>13</v>
      </c>
      <c r="S73">
        <v>1</v>
      </c>
      <c r="T73">
        <v>0</v>
      </c>
      <c r="W73">
        <v>4987</v>
      </c>
      <c r="X73">
        <v>0</v>
      </c>
      <c r="Y73">
        <v>0.26</v>
      </c>
      <c r="Z73">
        <v>0</v>
      </c>
      <c r="AB73">
        <v>120360000</v>
      </c>
      <c r="AC73">
        <v>120047064</v>
      </c>
      <c r="AD73">
        <v>120360000</v>
      </c>
      <c r="AE73">
        <v>120047064</v>
      </c>
      <c r="AG73">
        <v>100</v>
      </c>
      <c r="AH73">
        <v>99.74</v>
      </c>
      <c r="AI73">
        <v>1</v>
      </c>
      <c r="AJ73">
        <v>1.002607</v>
      </c>
      <c r="AK73">
        <v>0.48099999999999998</v>
      </c>
      <c r="AL73">
        <v>24.01</v>
      </c>
      <c r="AM73">
        <v>24009</v>
      </c>
      <c r="AN73">
        <v>2.5651000000000002</v>
      </c>
      <c r="AO73">
        <v>30</v>
      </c>
      <c r="AP73">
        <v>21.87</v>
      </c>
      <c r="AQ73">
        <v>0.72</v>
      </c>
      <c r="AR73">
        <v>-5.98</v>
      </c>
      <c r="AS73">
        <v>1.96</v>
      </c>
      <c r="AT73">
        <v>28.65</v>
      </c>
      <c r="AU73">
        <v>6666.69</v>
      </c>
      <c r="AV73">
        <v>35.81</v>
      </c>
      <c r="AW73">
        <v>19.760000000000002</v>
      </c>
      <c r="AX73">
        <v>13.19</v>
      </c>
      <c r="AY73">
        <v>10.698912</v>
      </c>
      <c r="AZ73">
        <v>53.674301999999997</v>
      </c>
      <c r="BA73">
        <v>-19.752804000000001</v>
      </c>
      <c r="BB73">
        <v>-5.9608819999999998</v>
      </c>
      <c r="BC73">
        <v>19.752804000000001</v>
      </c>
      <c r="BD73">
        <v>22.825645999999999</v>
      </c>
      <c r="BE73">
        <v>138.926018</v>
      </c>
      <c r="BF73">
        <v>-13.093147999999999</v>
      </c>
      <c r="BG73">
        <v>2.4164439999999998</v>
      </c>
      <c r="BH73">
        <v>13.093147999999999</v>
      </c>
    </row>
    <row r="74" spans="1:60" x14ac:dyDescent="0.25">
      <c r="A74" t="s">
        <v>205</v>
      </c>
      <c r="B74" t="s">
        <v>206</v>
      </c>
      <c r="C74">
        <v>24</v>
      </c>
      <c r="D74" t="s">
        <v>147</v>
      </c>
      <c r="E74" cm="1">
        <f t="array" ref="E74">_xlfn.SWITCH(D74,"QPSK",0.1,"16QAM",0.25,"64QAM",0.5,"256QAM",0.8,"1024QAM",1,"")</f>
        <v>0.25</v>
      </c>
      <c r="F74" cm="1">
        <f t="array" ref="F74">_xlfn.SWITCH(D74,"QPSK",0.05,"16QAM",0.15,"64QAM",0.4,"256QAM",0.75,"1024QAM",1,"")</f>
        <v>0.15</v>
      </c>
      <c r="G74" t="s">
        <v>60</v>
      </c>
      <c r="H74">
        <v>1</v>
      </c>
      <c r="I74" t="s">
        <v>61</v>
      </c>
      <c r="J74">
        <v>2</v>
      </c>
      <c r="K74">
        <v>2</v>
      </c>
      <c r="L74" t="s">
        <v>62</v>
      </c>
      <c r="M74">
        <v>2</v>
      </c>
      <c r="N74">
        <v>0.47849999999999998</v>
      </c>
      <c r="O74">
        <v>0.48220000000000002</v>
      </c>
      <c r="P74">
        <v>5000</v>
      </c>
      <c r="Q74">
        <v>4995</v>
      </c>
      <c r="R74">
        <v>5</v>
      </c>
      <c r="S74">
        <v>1</v>
      </c>
      <c r="T74">
        <v>0</v>
      </c>
      <c r="W74">
        <v>4995</v>
      </c>
      <c r="X74">
        <v>0</v>
      </c>
      <c r="Y74">
        <v>0.1</v>
      </c>
      <c r="Z74">
        <v>0</v>
      </c>
      <c r="AB74">
        <v>120360000</v>
      </c>
      <c r="AC74">
        <v>120239640</v>
      </c>
      <c r="AD74">
        <v>120360000</v>
      </c>
      <c r="AE74">
        <v>120239640</v>
      </c>
      <c r="AG74">
        <v>100</v>
      </c>
      <c r="AH74">
        <v>99.9</v>
      </c>
      <c r="AI74">
        <v>1</v>
      </c>
      <c r="AJ74">
        <v>1.001001</v>
      </c>
      <c r="AK74">
        <v>0.48170000000000002</v>
      </c>
      <c r="AL74">
        <v>24.05</v>
      </c>
      <c r="AM74">
        <v>24048</v>
      </c>
      <c r="AN74">
        <v>2.5691999999999999</v>
      </c>
      <c r="AO74">
        <v>30</v>
      </c>
      <c r="AP74">
        <v>21.87</v>
      </c>
      <c r="AQ74">
        <v>0.72</v>
      </c>
      <c r="AR74">
        <v>-5.99</v>
      </c>
      <c r="AS74">
        <v>1.96</v>
      </c>
      <c r="AT74">
        <v>32.32</v>
      </c>
      <c r="AU74">
        <v>6666.69</v>
      </c>
      <c r="AV74">
        <v>35.81</v>
      </c>
      <c r="AW74">
        <v>21.19</v>
      </c>
      <c r="AX74">
        <v>14.15</v>
      </c>
      <c r="AY74">
        <v>9.1039259999999995</v>
      </c>
      <c r="AZ74">
        <v>48.020927999999998</v>
      </c>
      <c r="BA74">
        <v>-21.181913999999999</v>
      </c>
      <c r="BB74">
        <v>-6.9606260000000004</v>
      </c>
      <c r="BC74">
        <v>21.181913999999999</v>
      </c>
      <c r="BD74">
        <v>20.479441999999999</v>
      </c>
      <c r="BE74">
        <v>129.92721</v>
      </c>
      <c r="BF74">
        <v>-14.083568</v>
      </c>
      <c r="BG74">
        <v>1.7463880000000001</v>
      </c>
      <c r="BH74">
        <v>14.083568</v>
      </c>
    </row>
    <row r="75" spans="1:60" x14ac:dyDescent="0.25">
      <c r="A75" t="s">
        <v>207</v>
      </c>
      <c r="B75" t="s">
        <v>208</v>
      </c>
      <c r="C75">
        <v>24</v>
      </c>
      <c r="D75" t="s">
        <v>147</v>
      </c>
      <c r="E75" cm="1">
        <f t="array" ref="E75">_xlfn.SWITCH(D75,"QPSK",0.1,"16QAM",0.25,"64QAM",0.5,"256QAM",0.8,"1024QAM",1,"")</f>
        <v>0.25</v>
      </c>
      <c r="F75" cm="1">
        <f t="array" ref="F75">_xlfn.SWITCH(D75,"QPSK",0.05,"16QAM",0.15,"64QAM",0.4,"256QAM",0.75,"1024QAM",1,"")</f>
        <v>0.15</v>
      </c>
      <c r="G75" t="s">
        <v>60</v>
      </c>
      <c r="H75">
        <v>4</v>
      </c>
      <c r="I75" t="s">
        <v>61</v>
      </c>
      <c r="J75">
        <v>2</v>
      </c>
      <c r="K75">
        <v>2</v>
      </c>
      <c r="L75" t="s">
        <v>62</v>
      </c>
      <c r="M75">
        <v>2</v>
      </c>
      <c r="N75">
        <v>0.47849999999999998</v>
      </c>
      <c r="O75">
        <v>0.48220000000000002</v>
      </c>
      <c r="P75">
        <v>5000</v>
      </c>
      <c r="Q75">
        <v>4995</v>
      </c>
      <c r="R75">
        <v>5</v>
      </c>
      <c r="S75">
        <v>1</v>
      </c>
      <c r="T75">
        <v>0</v>
      </c>
      <c r="W75">
        <v>4995</v>
      </c>
      <c r="X75">
        <v>0</v>
      </c>
      <c r="Y75">
        <v>0.1</v>
      </c>
      <c r="Z75">
        <v>0</v>
      </c>
      <c r="AB75">
        <v>120360000</v>
      </c>
      <c r="AC75">
        <v>120239640</v>
      </c>
      <c r="AD75">
        <v>120360000</v>
      </c>
      <c r="AE75">
        <v>120239640</v>
      </c>
      <c r="AG75">
        <v>100</v>
      </c>
      <c r="AH75">
        <v>99.9</v>
      </c>
      <c r="AI75">
        <v>1</v>
      </c>
      <c r="AJ75">
        <v>1.001001</v>
      </c>
      <c r="AK75">
        <v>0.48170000000000002</v>
      </c>
      <c r="AL75">
        <v>24.05</v>
      </c>
      <c r="AM75">
        <v>24048</v>
      </c>
      <c r="AN75">
        <v>2.5691999999999999</v>
      </c>
      <c r="AO75">
        <v>30</v>
      </c>
      <c r="AP75">
        <v>21.87</v>
      </c>
      <c r="AQ75">
        <v>0.72</v>
      </c>
      <c r="AR75">
        <v>-5.99</v>
      </c>
      <c r="AS75">
        <v>1.96</v>
      </c>
      <c r="AT75">
        <v>32.72</v>
      </c>
      <c r="AU75">
        <v>6666.69</v>
      </c>
      <c r="AV75">
        <v>35.81</v>
      </c>
      <c r="AW75">
        <v>21.19</v>
      </c>
      <c r="AX75">
        <v>14.14</v>
      </c>
      <c r="AY75">
        <v>9.1056139999999992</v>
      </c>
      <c r="AZ75">
        <v>48.105097999999998</v>
      </c>
      <c r="BA75">
        <v>-21.180288000000001</v>
      </c>
      <c r="BB75">
        <v>-6.9409599999999996</v>
      </c>
      <c r="BC75">
        <v>21.180288000000001</v>
      </c>
      <c r="BD75">
        <v>20.493236</v>
      </c>
      <c r="BE75">
        <v>130.306656</v>
      </c>
      <c r="BF75">
        <v>-14.077298000000001</v>
      </c>
      <c r="BG75">
        <v>1.7676160000000001</v>
      </c>
      <c r="BH75">
        <v>14.077298000000001</v>
      </c>
    </row>
    <row r="76" spans="1:60" x14ac:dyDescent="0.25">
      <c r="A76" t="s">
        <v>209</v>
      </c>
      <c r="B76" t="s">
        <v>210</v>
      </c>
      <c r="C76">
        <v>24</v>
      </c>
      <c r="D76" t="s">
        <v>147</v>
      </c>
      <c r="E76" cm="1">
        <f t="array" ref="E76">_xlfn.SWITCH(D76,"QPSK",0.1,"16QAM",0.25,"64QAM",0.5,"256QAM",0.8,"1024QAM",1,"")</f>
        <v>0.25</v>
      </c>
      <c r="F76" cm="1">
        <f t="array" ref="F76">_xlfn.SWITCH(D76,"QPSK",0.05,"16QAM",0.15,"64QAM",0.4,"256QAM",0.75,"1024QAM",1,"")</f>
        <v>0.15</v>
      </c>
      <c r="G76" t="s">
        <v>60</v>
      </c>
      <c r="H76">
        <v>8</v>
      </c>
      <c r="I76" t="s">
        <v>61</v>
      </c>
      <c r="J76">
        <v>2</v>
      </c>
      <c r="K76">
        <v>2</v>
      </c>
      <c r="L76" t="s">
        <v>62</v>
      </c>
      <c r="M76">
        <v>2</v>
      </c>
      <c r="N76">
        <v>0.47849999999999998</v>
      </c>
      <c r="O76">
        <v>0.48220000000000002</v>
      </c>
      <c r="P76">
        <v>5000</v>
      </c>
      <c r="Q76">
        <v>4993</v>
      </c>
      <c r="R76">
        <v>7</v>
      </c>
      <c r="S76">
        <v>1</v>
      </c>
      <c r="T76">
        <v>0</v>
      </c>
      <c r="W76">
        <v>4993</v>
      </c>
      <c r="X76">
        <v>0</v>
      </c>
      <c r="Y76">
        <v>0.14000000000000001</v>
      </c>
      <c r="Z76">
        <v>0</v>
      </c>
      <c r="AB76">
        <v>120360000</v>
      </c>
      <c r="AC76">
        <v>120191496</v>
      </c>
      <c r="AD76">
        <v>120360000</v>
      </c>
      <c r="AE76">
        <v>120191496</v>
      </c>
      <c r="AG76">
        <v>100</v>
      </c>
      <c r="AH76">
        <v>99.86</v>
      </c>
      <c r="AI76">
        <v>1</v>
      </c>
      <c r="AJ76">
        <v>1.0014019999999999</v>
      </c>
      <c r="AK76">
        <v>0.48149999999999998</v>
      </c>
      <c r="AL76">
        <v>24.04</v>
      </c>
      <c r="AM76">
        <v>24038</v>
      </c>
      <c r="AN76">
        <v>2.5682</v>
      </c>
      <c r="AO76">
        <v>30</v>
      </c>
      <c r="AP76">
        <v>21.87</v>
      </c>
      <c r="AQ76">
        <v>0.72</v>
      </c>
      <c r="AR76">
        <v>-5.99</v>
      </c>
      <c r="AS76">
        <v>1.96</v>
      </c>
      <c r="AT76">
        <v>32.61</v>
      </c>
      <c r="AU76">
        <v>6666.69</v>
      </c>
      <c r="AV76">
        <v>35.81</v>
      </c>
      <c r="AW76">
        <v>21.19</v>
      </c>
      <c r="AX76">
        <v>14.15</v>
      </c>
      <c r="AY76">
        <v>9.1078860000000006</v>
      </c>
      <c r="AZ76">
        <v>47.745975999999999</v>
      </c>
      <c r="BA76">
        <v>-21.181056000000002</v>
      </c>
      <c r="BB76">
        <v>-7.0106339999999996</v>
      </c>
      <c r="BC76">
        <v>21.181056000000002</v>
      </c>
      <c r="BD76">
        <v>20.487653999999999</v>
      </c>
      <c r="BE76">
        <v>129.875384</v>
      </c>
      <c r="BF76">
        <v>-14.080679999999999</v>
      </c>
      <c r="BG76">
        <v>1.7532939999999999</v>
      </c>
      <c r="BH76">
        <v>14.080679999999999</v>
      </c>
    </row>
    <row r="77" spans="1:60" x14ac:dyDescent="0.25">
      <c r="A77" t="s">
        <v>211</v>
      </c>
      <c r="B77" t="s">
        <v>212</v>
      </c>
      <c r="C77">
        <v>4</v>
      </c>
      <c r="D77" t="s">
        <v>147</v>
      </c>
      <c r="E77" cm="1">
        <f t="array" ref="E77">_xlfn.SWITCH(D77,"QPSK",0.1,"16QAM",0.25,"64QAM",0.5,"256QAM",0.8,"1024QAM",1,"")</f>
        <v>0.25</v>
      </c>
      <c r="F77" cm="1">
        <f t="array" ref="F77">_xlfn.SWITCH(D77,"QPSK",0.05,"16QAM",0.15,"64QAM",0.4,"256QAM",0.75,"1024QAM",1,"")</f>
        <v>0.15</v>
      </c>
      <c r="G77" t="s">
        <v>60</v>
      </c>
      <c r="H77">
        <v>1</v>
      </c>
      <c r="I77" t="s">
        <v>61</v>
      </c>
      <c r="J77">
        <v>2</v>
      </c>
      <c r="K77">
        <v>2</v>
      </c>
      <c r="L77" t="s">
        <v>62</v>
      </c>
      <c r="M77">
        <v>2</v>
      </c>
      <c r="N77">
        <v>0.47849999999999998</v>
      </c>
      <c r="O77">
        <v>0.48220000000000002</v>
      </c>
      <c r="P77">
        <v>5000</v>
      </c>
      <c r="Q77">
        <v>1624</v>
      </c>
      <c r="R77">
        <v>3376</v>
      </c>
      <c r="S77">
        <v>3.08</v>
      </c>
      <c r="T77">
        <v>2.08</v>
      </c>
      <c r="W77">
        <v>1229</v>
      </c>
      <c r="X77">
        <v>0</v>
      </c>
      <c r="Y77">
        <v>75.42</v>
      </c>
      <c r="Z77">
        <v>24.32</v>
      </c>
      <c r="AB77">
        <v>120360000</v>
      </c>
      <c r="AC77">
        <v>29584488</v>
      </c>
      <c r="AD77">
        <v>120360000</v>
      </c>
      <c r="AE77">
        <v>29584488</v>
      </c>
      <c r="AG77">
        <v>75.680000000000007</v>
      </c>
      <c r="AH77">
        <v>24.58</v>
      </c>
      <c r="AI77">
        <v>1</v>
      </c>
      <c r="AJ77">
        <v>3.0788180000000001</v>
      </c>
      <c r="AK77">
        <v>0.11849999999999999</v>
      </c>
      <c r="AL77">
        <v>5.92</v>
      </c>
      <c r="AM77">
        <v>5917</v>
      </c>
      <c r="AN77">
        <v>0.6321</v>
      </c>
      <c r="AO77">
        <v>30</v>
      </c>
      <c r="AP77">
        <v>21.87</v>
      </c>
      <c r="AQ77">
        <v>0.72</v>
      </c>
      <c r="AR77">
        <v>-5.89</v>
      </c>
      <c r="AS77">
        <v>1.92</v>
      </c>
      <c r="AT77">
        <v>15.97</v>
      </c>
      <c r="AU77">
        <v>6666.69</v>
      </c>
      <c r="AV77">
        <v>35.81</v>
      </c>
      <c r="AW77">
        <v>10.43</v>
      </c>
      <c r="AX77">
        <v>7.51</v>
      </c>
      <c r="AY77">
        <v>30.883109999999999</v>
      </c>
      <c r="AZ77">
        <v>123.984348</v>
      </c>
      <c r="BA77">
        <v>-10.233432000000001</v>
      </c>
      <c r="BB77">
        <v>1.6979420000000001</v>
      </c>
      <c r="BC77">
        <v>10.233432000000001</v>
      </c>
      <c r="BD77">
        <v>40.42971</v>
      </c>
      <c r="BE77">
        <v>229.84112400000001</v>
      </c>
      <c r="BF77">
        <v>-7.9124840000000001</v>
      </c>
      <c r="BG77">
        <v>6.9505379999999999</v>
      </c>
      <c r="BH77">
        <v>7.9124840000000001</v>
      </c>
    </row>
    <row r="78" spans="1:60" x14ac:dyDescent="0.25">
      <c r="A78" t="s">
        <v>213</v>
      </c>
      <c r="B78" t="s">
        <v>214</v>
      </c>
      <c r="C78">
        <v>4</v>
      </c>
      <c r="D78" t="s">
        <v>147</v>
      </c>
      <c r="E78" cm="1">
        <f t="array" ref="E78">_xlfn.SWITCH(D78,"QPSK",0.1,"16QAM",0.25,"64QAM",0.5,"256QAM",0.8,"1024QAM",1,"")</f>
        <v>0.25</v>
      </c>
      <c r="F78" cm="1">
        <f t="array" ref="F78">_xlfn.SWITCH(D78,"QPSK",0.05,"16QAM",0.15,"64QAM",0.4,"256QAM",0.75,"1024QAM",1,"")</f>
        <v>0.15</v>
      </c>
      <c r="G78" t="s">
        <v>60</v>
      </c>
      <c r="H78">
        <v>4</v>
      </c>
      <c r="I78" t="s">
        <v>61</v>
      </c>
      <c r="J78">
        <v>2</v>
      </c>
      <c r="K78">
        <v>2</v>
      </c>
      <c r="L78" t="s">
        <v>62</v>
      </c>
      <c r="M78">
        <v>2</v>
      </c>
      <c r="N78">
        <v>0.47849999999999998</v>
      </c>
      <c r="O78">
        <v>0.48220000000000002</v>
      </c>
      <c r="P78">
        <v>5000</v>
      </c>
      <c r="Q78">
        <v>1616</v>
      </c>
      <c r="R78">
        <v>3384</v>
      </c>
      <c r="S78">
        <v>3.09</v>
      </c>
      <c r="T78">
        <v>2.09</v>
      </c>
      <c r="W78">
        <v>1229</v>
      </c>
      <c r="X78">
        <v>0</v>
      </c>
      <c r="Y78">
        <v>75.42</v>
      </c>
      <c r="Z78">
        <v>23.95</v>
      </c>
      <c r="AB78">
        <v>120360000</v>
      </c>
      <c r="AC78">
        <v>29584488</v>
      </c>
      <c r="AD78">
        <v>120360000</v>
      </c>
      <c r="AE78">
        <v>29584488</v>
      </c>
      <c r="AG78">
        <v>76.05</v>
      </c>
      <c r="AH78">
        <v>24.58</v>
      </c>
      <c r="AI78">
        <v>1</v>
      </c>
      <c r="AJ78">
        <v>3.0940590000000001</v>
      </c>
      <c r="AK78">
        <v>0.11849999999999999</v>
      </c>
      <c r="AL78">
        <v>5.92</v>
      </c>
      <c r="AM78">
        <v>5917</v>
      </c>
      <c r="AN78">
        <v>0.6321</v>
      </c>
      <c r="AO78">
        <v>30</v>
      </c>
      <c r="AP78">
        <v>21.87</v>
      </c>
      <c r="AQ78">
        <v>0.72</v>
      </c>
      <c r="AR78">
        <v>-5.89</v>
      </c>
      <c r="AS78">
        <v>1.92</v>
      </c>
      <c r="AT78">
        <v>16.13</v>
      </c>
      <c r="AU78">
        <v>6666.69</v>
      </c>
      <c r="AV78">
        <v>35.81</v>
      </c>
      <c r="AW78">
        <v>10.43</v>
      </c>
      <c r="AX78">
        <v>7.51</v>
      </c>
      <c r="AY78">
        <v>30.876405999999999</v>
      </c>
      <c r="AZ78">
        <v>124.50230000000001</v>
      </c>
      <c r="BA78">
        <v>-10.235348</v>
      </c>
      <c r="BB78">
        <v>1.7328859999999999</v>
      </c>
      <c r="BC78">
        <v>10.235348</v>
      </c>
      <c r="BD78">
        <v>40.424140000000001</v>
      </c>
      <c r="BE78">
        <v>228.53659999999999</v>
      </c>
      <c r="BF78">
        <v>-7.9138320000000002</v>
      </c>
      <c r="BG78">
        <v>6.9073520000000004</v>
      </c>
      <c r="BH78">
        <v>7.9138320000000002</v>
      </c>
    </row>
    <row r="79" spans="1:60" x14ac:dyDescent="0.25">
      <c r="A79" t="s">
        <v>215</v>
      </c>
      <c r="B79" t="s">
        <v>216</v>
      </c>
      <c r="C79">
        <v>4</v>
      </c>
      <c r="D79" t="s">
        <v>147</v>
      </c>
      <c r="E79" cm="1">
        <f t="array" ref="E79">_xlfn.SWITCH(D79,"QPSK",0.1,"16QAM",0.25,"64QAM",0.5,"256QAM",0.8,"1024QAM",1,"")</f>
        <v>0.25</v>
      </c>
      <c r="F79" cm="1">
        <f t="array" ref="F79">_xlfn.SWITCH(D79,"QPSK",0.05,"16QAM",0.15,"64QAM",0.4,"256QAM",0.75,"1024QAM",1,"")</f>
        <v>0.15</v>
      </c>
      <c r="G79" t="s">
        <v>60</v>
      </c>
      <c r="H79">
        <v>8</v>
      </c>
      <c r="I79" t="s">
        <v>61</v>
      </c>
      <c r="J79">
        <v>2</v>
      </c>
      <c r="K79">
        <v>2</v>
      </c>
      <c r="L79" t="s">
        <v>62</v>
      </c>
      <c r="M79">
        <v>2</v>
      </c>
      <c r="N79">
        <v>0.47849999999999998</v>
      </c>
      <c r="O79">
        <v>0.48220000000000002</v>
      </c>
      <c r="P79">
        <v>5000</v>
      </c>
      <c r="Q79">
        <v>1613</v>
      </c>
      <c r="R79">
        <v>3387</v>
      </c>
      <c r="S79">
        <v>3.1</v>
      </c>
      <c r="T79">
        <v>2.1</v>
      </c>
      <c r="W79">
        <v>1244</v>
      </c>
      <c r="X79">
        <v>0</v>
      </c>
      <c r="Y79">
        <v>75.12</v>
      </c>
      <c r="Z79">
        <v>22.88</v>
      </c>
      <c r="AB79">
        <v>120360000</v>
      </c>
      <c r="AC79">
        <v>29945568</v>
      </c>
      <c r="AD79">
        <v>120360000</v>
      </c>
      <c r="AE79">
        <v>29945568</v>
      </c>
      <c r="AG79">
        <v>77.12</v>
      </c>
      <c r="AH79">
        <v>24.88</v>
      </c>
      <c r="AI79">
        <v>1</v>
      </c>
      <c r="AJ79">
        <v>3.0998139999999998</v>
      </c>
      <c r="AK79">
        <v>0.12</v>
      </c>
      <c r="AL79">
        <v>5.99</v>
      </c>
      <c r="AM79">
        <v>5989</v>
      </c>
      <c r="AN79">
        <v>0.63990000000000002</v>
      </c>
      <c r="AO79">
        <v>30</v>
      </c>
      <c r="AP79">
        <v>21.87</v>
      </c>
      <c r="AQ79">
        <v>0.72</v>
      </c>
      <c r="AR79">
        <v>-5.89</v>
      </c>
      <c r="AS79">
        <v>1.92</v>
      </c>
      <c r="AT79">
        <v>16.29</v>
      </c>
      <c r="AU79">
        <v>6666.69</v>
      </c>
      <c r="AV79">
        <v>35.81</v>
      </c>
      <c r="AW79">
        <v>10.43</v>
      </c>
      <c r="AX79">
        <v>7.51</v>
      </c>
      <c r="AY79">
        <v>30.872798</v>
      </c>
      <c r="AZ79">
        <v>124.00386</v>
      </c>
      <c r="BA79">
        <v>-10.236248</v>
      </c>
      <c r="BB79">
        <v>1.7016</v>
      </c>
      <c r="BC79">
        <v>10.236248</v>
      </c>
      <c r="BD79">
        <v>40.426749999999998</v>
      </c>
      <c r="BE79">
        <v>228.6397</v>
      </c>
      <c r="BF79">
        <v>-7.9133319999999996</v>
      </c>
      <c r="BG79">
        <v>6.9129500000000004</v>
      </c>
      <c r="BH79">
        <v>7.9133319999999996</v>
      </c>
    </row>
    <row r="80" spans="1:60" x14ac:dyDescent="0.25">
      <c r="A80" t="s">
        <v>217</v>
      </c>
      <c r="B80" t="s">
        <v>153</v>
      </c>
      <c r="C80">
        <v>6</v>
      </c>
      <c r="D80" t="s">
        <v>147</v>
      </c>
      <c r="E80" cm="1">
        <f t="array" ref="E80">_xlfn.SWITCH(D80,"QPSK",0.1,"16QAM",0.25,"64QAM",0.5,"256QAM",0.8,"1024QAM",1,"")</f>
        <v>0.25</v>
      </c>
      <c r="F80" cm="1">
        <f t="array" ref="F80">_xlfn.SWITCH(D80,"QPSK",0.05,"16QAM",0.15,"64QAM",0.4,"256QAM",0.75,"1024QAM",1,"")</f>
        <v>0.15</v>
      </c>
      <c r="G80" t="s">
        <v>60</v>
      </c>
      <c r="H80">
        <v>1</v>
      </c>
      <c r="I80" t="s">
        <v>61</v>
      </c>
      <c r="J80">
        <v>2</v>
      </c>
      <c r="K80">
        <v>2</v>
      </c>
      <c r="L80" t="s">
        <v>62</v>
      </c>
      <c r="M80">
        <v>2</v>
      </c>
      <c r="N80">
        <v>0.47849999999999998</v>
      </c>
      <c r="O80">
        <v>0.48220000000000002</v>
      </c>
      <c r="P80">
        <v>5000</v>
      </c>
      <c r="Q80">
        <v>1989</v>
      </c>
      <c r="R80">
        <v>3011</v>
      </c>
      <c r="S80">
        <v>2.5099999999999998</v>
      </c>
      <c r="T80">
        <v>1.51</v>
      </c>
      <c r="W80">
        <v>1867</v>
      </c>
      <c r="X80">
        <v>0</v>
      </c>
      <c r="Y80">
        <v>62.66</v>
      </c>
      <c r="Z80">
        <v>6.13</v>
      </c>
      <c r="AB80">
        <v>120360000</v>
      </c>
      <c r="AC80">
        <v>44942424</v>
      </c>
      <c r="AD80">
        <v>120360000</v>
      </c>
      <c r="AE80">
        <v>44942424</v>
      </c>
      <c r="AG80">
        <v>93.87</v>
      </c>
      <c r="AH80">
        <v>37.340000000000003</v>
      </c>
      <c r="AI80">
        <v>1</v>
      </c>
      <c r="AJ80">
        <v>2.5138259999999999</v>
      </c>
      <c r="AK80">
        <v>0.18010000000000001</v>
      </c>
      <c r="AL80">
        <v>8.99</v>
      </c>
      <c r="AM80">
        <v>8988</v>
      </c>
      <c r="AN80">
        <v>0.96030000000000004</v>
      </c>
      <c r="AO80">
        <v>30</v>
      </c>
      <c r="AP80">
        <v>21.87</v>
      </c>
      <c r="AQ80">
        <v>0.72</v>
      </c>
      <c r="AR80">
        <v>-5.93</v>
      </c>
      <c r="AS80">
        <v>1.95</v>
      </c>
      <c r="AT80">
        <v>19.21</v>
      </c>
      <c r="AU80">
        <v>6666.69</v>
      </c>
      <c r="AV80">
        <v>35.81</v>
      </c>
      <c r="AW80">
        <v>11</v>
      </c>
      <c r="AX80">
        <v>8.1999999999999993</v>
      </c>
      <c r="AY80">
        <v>28.76925</v>
      </c>
      <c r="AZ80">
        <v>108.129592</v>
      </c>
      <c r="BA80">
        <v>-10.857794</v>
      </c>
      <c r="BB80">
        <v>0.48114000000000001</v>
      </c>
      <c r="BC80">
        <v>10.857794</v>
      </c>
      <c r="BD80">
        <v>38.869627999999999</v>
      </c>
      <c r="BE80">
        <v>208.145914</v>
      </c>
      <c r="BF80">
        <v>-8.2640139999999995</v>
      </c>
      <c r="BG80">
        <v>6.0750739999999999</v>
      </c>
      <c r="BH80">
        <v>8.2640139999999995</v>
      </c>
    </row>
    <row r="81" spans="1:60" x14ac:dyDescent="0.25">
      <c r="A81" t="s">
        <v>218</v>
      </c>
      <c r="B81" t="s">
        <v>219</v>
      </c>
      <c r="C81">
        <v>6</v>
      </c>
      <c r="D81" t="s">
        <v>147</v>
      </c>
      <c r="E81" cm="1">
        <f t="array" ref="E81">_xlfn.SWITCH(D81,"QPSK",0.1,"16QAM",0.25,"64QAM",0.5,"256QAM",0.8,"1024QAM",1,"")</f>
        <v>0.25</v>
      </c>
      <c r="F81" cm="1">
        <f t="array" ref="F81">_xlfn.SWITCH(D81,"QPSK",0.05,"16QAM",0.15,"64QAM",0.4,"256QAM",0.75,"1024QAM",1,"")</f>
        <v>0.15</v>
      </c>
      <c r="G81" t="s">
        <v>60</v>
      </c>
      <c r="H81">
        <v>4</v>
      </c>
      <c r="I81" t="s">
        <v>61</v>
      </c>
      <c r="J81">
        <v>2</v>
      </c>
      <c r="K81">
        <v>2</v>
      </c>
      <c r="L81" t="s">
        <v>62</v>
      </c>
      <c r="M81">
        <v>2</v>
      </c>
      <c r="N81">
        <v>0.47849999999999998</v>
      </c>
      <c r="O81">
        <v>0.48220000000000002</v>
      </c>
      <c r="P81">
        <v>5000</v>
      </c>
      <c r="Q81">
        <v>1976</v>
      </c>
      <c r="R81">
        <v>3024</v>
      </c>
      <c r="S81">
        <v>2.5299999999999998</v>
      </c>
      <c r="T81">
        <v>1.53</v>
      </c>
      <c r="W81">
        <v>1856</v>
      </c>
      <c r="X81">
        <v>0</v>
      </c>
      <c r="Y81">
        <v>62.88</v>
      </c>
      <c r="Z81">
        <v>6.07</v>
      </c>
      <c r="AB81">
        <v>120360000</v>
      </c>
      <c r="AC81">
        <v>44677632</v>
      </c>
      <c r="AD81">
        <v>120360000</v>
      </c>
      <c r="AE81">
        <v>44677632</v>
      </c>
      <c r="AG81">
        <v>93.93</v>
      </c>
      <c r="AH81">
        <v>37.119999999999997</v>
      </c>
      <c r="AI81">
        <v>1</v>
      </c>
      <c r="AJ81">
        <v>2.5303640000000001</v>
      </c>
      <c r="AK81">
        <v>0.17899999999999999</v>
      </c>
      <c r="AL81">
        <v>8.94</v>
      </c>
      <c r="AM81">
        <v>8936</v>
      </c>
      <c r="AN81">
        <v>0.95469999999999999</v>
      </c>
      <c r="AO81">
        <v>30</v>
      </c>
      <c r="AP81">
        <v>21.87</v>
      </c>
      <c r="AQ81">
        <v>0.72</v>
      </c>
      <c r="AR81">
        <v>-5.93</v>
      </c>
      <c r="AS81">
        <v>1.95</v>
      </c>
      <c r="AT81">
        <v>19.010000000000002</v>
      </c>
      <c r="AU81">
        <v>6666.69</v>
      </c>
      <c r="AV81">
        <v>35.81</v>
      </c>
      <c r="AW81">
        <v>11</v>
      </c>
      <c r="AX81">
        <v>8.1999999999999993</v>
      </c>
      <c r="AY81">
        <v>28.781099999999999</v>
      </c>
      <c r="AZ81">
        <v>108.23581799999999</v>
      </c>
      <c r="BA81">
        <v>-10.854232</v>
      </c>
      <c r="BB81">
        <v>0.48777799999999999</v>
      </c>
      <c r="BC81">
        <v>10.854232</v>
      </c>
      <c r="BD81">
        <v>38.871482</v>
      </c>
      <c r="BE81">
        <v>208.93015</v>
      </c>
      <c r="BF81">
        <v>-8.2631040000000002</v>
      </c>
      <c r="BG81">
        <v>6.1038540000000001</v>
      </c>
      <c r="BH81">
        <v>8.2631040000000002</v>
      </c>
    </row>
    <row r="82" spans="1:60" x14ac:dyDescent="0.25">
      <c r="A82" t="s">
        <v>220</v>
      </c>
      <c r="B82" t="s">
        <v>221</v>
      </c>
      <c r="C82">
        <v>6</v>
      </c>
      <c r="D82" t="s">
        <v>147</v>
      </c>
      <c r="E82" cm="1">
        <f t="array" ref="E82">_xlfn.SWITCH(D82,"QPSK",0.1,"16QAM",0.25,"64QAM",0.5,"256QAM",0.8,"1024QAM",1,"")</f>
        <v>0.25</v>
      </c>
      <c r="F82" cm="1">
        <f t="array" ref="F82">_xlfn.SWITCH(D82,"QPSK",0.05,"16QAM",0.15,"64QAM",0.4,"256QAM",0.75,"1024QAM",1,"")</f>
        <v>0.15</v>
      </c>
      <c r="G82" t="s">
        <v>60</v>
      </c>
      <c r="H82">
        <v>8</v>
      </c>
      <c r="I82" t="s">
        <v>61</v>
      </c>
      <c r="J82">
        <v>2</v>
      </c>
      <c r="K82">
        <v>2</v>
      </c>
      <c r="L82" t="s">
        <v>62</v>
      </c>
      <c r="M82">
        <v>2</v>
      </c>
      <c r="N82">
        <v>0.47849999999999998</v>
      </c>
      <c r="O82">
        <v>0.48220000000000002</v>
      </c>
      <c r="P82">
        <v>5000</v>
      </c>
      <c r="Q82">
        <v>1983</v>
      </c>
      <c r="R82">
        <v>3017</v>
      </c>
      <c r="S82">
        <v>2.52</v>
      </c>
      <c r="T82">
        <v>1.52</v>
      </c>
      <c r="W82">
        <v>1885</v>
      </c>
      <c r="X82">
        <v>0</v>
      </c>
      <c r="Y82">
        <v>62.3</v>
      </c>
      <c r="Z82">
        <v>4.9400000000000004</v>
      </c>
      <c r="AB82">
        <v>120360000</v>
      </c>
      <c r="AC82">
        <v>45375720</v>
      </c>
      <c r="AD82">
        <v>120360000</v>
      </c>
      <c r="AE82">
        <v>45375720</v>
      </c>
      <c r="AG82">
        <v>95.06</v>
      </c>
      <c r="AH82">
        <v>37.700000000000003</v>
      </c>
      <c r="AI82">
        <v>1</v>
      </c>
      <c r="AJ82">
        <v>2.5214319999999999</v>
      </c>
      <c r="AK82">
        <v>0.18179999999999999</v>
      </c>
      <c r="AL82">
        <v>9.08</v>
      </c>
      <c r="AM82">
        <v>9075</v>
      </c>
      <c r="AN82">
        <v>0.96960000000000002</v>
      </c>
      <c r="AO82">
        <v>30</v>
      </c>
      <c r="AP82">
        <v>21.87</v>
      </c>
      <c r="AQ82">
        <v>0.72</v>
      </c>
      <c r="AR82">
        <v>-5.93</v>
      </c>
      <c r="AS82">
        <v>1.95</v>
      </c>
      <c r="AT82">
        <v>19.2</v>
      </c>
      <c r="AU82">
        <v>6666.69</v>
      </c>
      <c r="AV82">
        <v>35.81</v>
      </c>
      <c r="AW82">
        <v>11</v>
      </c>
      <c r="AX82">
        <v>8.1999999999999993</v>
      </c>
      <c r="AY82">
        <v>28.771978000000001</v>
      </c>
      <c r="AZ82">
        <v>108.009326</v>
      </c>
      <c r="BA82">
        <v>-10.856928</v>
      </c>
      <c r="BB82">
        <v>0.47045799999999999</v>
      </c>
      <c r="BC82">
        <v>10.856928</v>
      </c>
      <c r="BD82">
        <v>38.858178000000002</v>
      </c>
      <c r="BE82">
        <v>208.33590599999999</v>
      </c>
      <c r="BF82">
        <v>-8.2659199999999995</v>
      </c>
      <c r="BG82">
        <v>6.0892140000000001</v>
      </c>
      <c r="BH82">
        <v>8.2659199999999995</v>
      </c>
    </row>
    <row r="83" spans="1:60" x14ac:dyDescent="0.25">
      <c r="A83" t="s">
        <v>222</v>
      </c>
      <c r="B83" t="s">
        <v>223</v>
      </c>
      <c r="C83">
        <v>8</v>
      </c>
      <c r="D83" t="s">
        <v>147</v>
      </c>
      <c r="E83" cm="1">
        <f t="array" ref="E83">_xlfn.SWITCH(D83,"QPSK",0.1,"16QAM",0.25,"64QAM",0.5,"256QAM",0.8,"1024QAM",1,"")</f>
        <v>0.25</v>
      </c>
      <c r="F83" cm="1">
        <f t="array" ref="F83">_xlfn.SWITCH(D83,"QPSK",0.05,"16QAM",0.15,"64QAM",0.4,"256QAM",0.75,"1024QAM",1,"")</f>
        <v>0.15</v>
      </c>
      <c r="G83" t="s">
        <v>60</v>
      </c>
      <c r="H83">
        <v>1</v>
      </c>
      <c r="I83" t="s">
        <v>61</v>
      </c>
      <c r="J83">
        <v>2</v>
      </c>
      <c r="K83">
        <v>2</v>
      </c>
      <c r="L83" t="s">
        <v>62</v>
      </c>
      <c r="M83">
        <v>2</v>
      </c>
      <c r="N83">
        <v>0.47849999999999998</v>
      </c>
      <c r="O83">
        <v>0.48220000000000002</v>
      </c>
      <c r="P83">
        <v>5000</v>
      </c>
      <c r="Q83">
        <v>2444</v>
      </c>
      <c r="R83">
        <v>2556</v>
      </c>
      <c r="S83">
        <v>2.0499999999999998</v>
      </c>
      <c r="T83">
        <v>1.05</v>
      </c>
      <c r="W83">
        <v>2421</v>
      </c>
      <c r="X83">
        <v>0</v>
      </c>
      <c r="Y83">
        <v>51.58</v>
      </c>
      <c r="Z83">
        <v>0.94</v>
      </c>
      <c r="AB83">
        <v>120360000</v>
      </c>
      <c r="AC83">
        <v>58278312</v>
      </c>
      <c r="AD83">
        <v>120360000</v>
      </c>
      <c r="AE83">
        <v>58278312</v>
      </c>
      <c r="AG83">
        <v>99.06</v>
      </c>
      <c r="AH83">
        <v>48.42</v>
      </c>
      <c r="AI83">
        <v>1</v>
      </c>
      <c r="AJ83">
        <v>2.0458270000000001</v>
      </c>
      <c r="AK83">
        <v>0.23350000000000001</v>
      </c>
      <c r="AL83">
        <v>11.66</v>
      </c>
      <c r="AM83">
        <v>11656</v>
      </c>
      <c r="AN83">
        <v>1.2453000000000001</v>
      </c>
      <c r="AO83">
        <v>30</v>
      </c>
      <c r="AP83">
        <v>21.87</v>
      </c>
      <c r="AQ83">
        <v>0.72</v>
      </c>
      <c r="AR83">
        <v>-5.94</v>
      </c>
      <c r="AS83">
        <v>1.97</v>
      </c>
      <c r="AT83">
        <v>21.42</v>
      </c>
      <c r="AU83">
        <v>6666.69</v>
      </c>
      <c r="AV83">
        <v>35.81</v>
      </c>
      <c r="AW83">
        <v>11.65</v>
      </c>
      <c r="AX83">
        <v>8.8000000000000007</v>
      </c>
      <c r="AY83">
        <v>26.610773999999999</v>
      </c>
      <c r="AZ83">
        <v>97.326813999999999</v>
      </c>
      <c r="BA83">
        <v>-11.551118000000001</v>
      </c>
      <c r="BB83">
        <v>-0.51873400000000003</v>
      </c>
      <c r="BC83">
        <v>11.551118000000001</v>
      </c>
      <c r="BD83">
        <v>37.227553999999998</v>
      </c>
      <c r="BE83">
        <v>191.40241599999999</v>
      </c>
      <c r="BF83">
        <v>-8.6438480000000002</v>
      </c>
      <c r="BG83">
        <v>5.3643999999999998</v>
      </c>
      <c r="BH83">
        <v>8.6438480000000002</v>
      </c>
    </row>
    <row r="84" spans="1:60" x14ac:dyDescent="0.25">
      <c r="A84" t="s">
        <v>224</v>
      </c>
      <c r="B84" t="s">
        <v>225</v>
      </c>
      <c r="C84">
        <v>8</v>
      </c>
      <c r="D84" t="s">
        <v>147</v>
      </c>
      <c r="E84" cm="1">
        <f t="array" ref="E84">_xlfn.SWITCH(D84,"QPSK",0.1,"16QAM",0.25,"64QAM",0.5,"256QAM",0.8,"1024QAM",1,"")</f>
        <v>0.25</v>
      </c>
      <c r="F84" cm="1">
        <f t="array" ref="F84">_xlfn.SWITCH(D84,"QPSK",0.05,"16QAM",0.15,"64QAM",0.4,"256QAM",0.75,"1024QAM",1,"")</f>
        <v>0.15</v>
      </c>
      <c r="G84" t="s">
        <v>60</v>
      </c>
      <c r="H84">
        <v>4</v>
      </c>
      <c r="I84" t="s">
        <v>61</v>
      </c>
      <c r="J84">
        <v>2</v>
      </c>
      <c r="K84">
        <v>2</v>
      </c>
      <c r="L84" t="s">
        <v>62</v>
      </c>
      <c r="M84">
        <v>2</v>
      </c>
      <c r="N84">
        <v>0.47849999999999998</v>
      </c>
      <c r="O84">
        <v>0.48220000000000002</v>
      </c>
      <c r="P84">
        <v>5000</v>
      </c>
      <c r="Q84">
        <v>2429</v>
      </c>
      <c r="R84">
        <v>2571</v>
      </c>
      <c r="S84">
        <v>2.06</v>
      </c>
      <c r="T84">
        <v>1.06</v>
      </c>
      <c r="W84">
        <v>2410</v>
      </c>
      <c r="X84">
        <v>0</v>
      </c>
      <c r="Y84">
        <v>51.8</v>
      </c>
      <c r="Z84">
        <v>0.78</v>
      </c>
      <c r="AB84">
        <v>120360000</v>
      </c>
      <c r="AC84">
        <v>58013520</v>
      </c>
      <c r="AD84">
        <v>120360000</v>
      </c>
      <c r="AE84">
        <v>58013520</v>
      </c>
      <c r="AG84">
        <v>99.22</v>
      </c>
      <c r="AH84">
        <v>48.2</v>
      </c>
      <c r="AI84">
        <v>1</v>
      </c>
      <c r="AJ84">
        <v>2.0584600000000002</v>
      </c>
      <c r="AK84">
        <v>0.2324</v>
      </c>
      <c r="AL84">
        <v>11.6</v>
      </c>
      <c r="AM84">
        <v>11603</v>
      </c>
      <c r="AN84">
        <v>1.2396</v>
      </c>
      <c r="AO84">
        <v>30</v>
      </c>
      <c r="AP84">
        <v>21.87</v>
      </c>
      <c r="AQ84">
        <v>0.72</v>
      </c>
      <c r="AR84">
        <v>-5.94</v>
      </c>
      <c r="AS84">
        <v>1.97</v>
      </c>
      <c r="AT84">
        <v>21.36</v>
      </c>
      <c r="AU84">
        <v>6666.69</v>
      </c>
      <c r="AV84">
        <v>35.81</v>
      </c>
      <c r="AW84">
        <v>11.65</v>
      </c>
      <c r="AX84">
        <v>8.8000000000000007</v>
      </c>
      <c r="AY84">
        <v>26.606961999999999</v>
      </c>
      <c r="AZ84">
        <v>97.214492000000007</v>
      </c>
      <c r="BA84">
        <v>-11.552490000000001</v>
      </c>
      <c r="BB84">
        <v>-0.52557600000000004</v>
      </c>
      <c r="BC84">
        <v>11.552490000000001</v>
      </c>
      <c r="BD84">
        <v>37.239438</v>
      </c>
      <c r="BE84">
        <v>191.643114</v>
      </c>
      <c r="BF84">
        <v>-8.6415439999999997</v>
      </c>
      <c r="BG84">
        <v>5.3756320000000004</v>
      </c>
      <c r="BH84">
        <v>8.6415439999999997</v>
      </c>
    </row>
    <row r="85" spans="1:60" x14ac:dyDescent="0.25">
      <c r="A85" t="s">
        <v>226</v>
      </c>
      <c r="B85" t="s">
        <v>227</v>
      </c>
      <c r="C85">
        <v>8</v>
      </c>
      <c r="D85" t="s">
        <v>147</v>
      </c>
      <c r="E85" cm="1">
        <f t="array" ref="E85">_xlfn.SWITCH(D85,"QPSK",0.1,"16QAM",0.25,"64QAM",0.5,"256QAM",0.8,"1024QAM",1,"")</f>
        <v>0.25</v>
      </c>
      <c r="F85" cm="1">
        <f t="array" ref="F85">_xlfn.SWITCH(D85,"QPSK",0.05,"16QAM",0.15,"64QAM",0.4,"256QAM",0.75,"1024QAM",1,"")</f>
        <v>0.15</v>
      </c>
      <c r="G85" t="s">
        <v>60</v>
      </c>
      <c r="H85">
        <v>8</v>
      </c>
      <c r="I85" t="s">
        <v>61</v>
      </c>
      <c r="J85">
        <v>2</v>
      </c>
      <c r="K85">
        <v>2</v>
      </c>
      <c r="L85" t="s">
        <v>62</v>
      </c>
      <c r="M85">
        <v>2</v>
      </c>
      <c r="N85">
        <v>0.47849999999999998</v>
      </c>
      <c r="O85">
        <v>0.48220000000000002</v>
      </c>
      <c r="P85">
        <v>5000</v>
      </c>
      <c r="Q85">
        <v>2416</v>
      </c>
      <c r="R85">
        <v>2584</v>
      </c>
      <c r="S85">
        <v>2.0699999999999998</v>
      </c>
      <c r="T85">
        <v>1.07</v>
      </c>
      <c r="W85">
        <v>2412</v>
      </c>
      <c r="X85">
        <v>0</v>
      </c>
      <c r="Y85">
        <v>51.76</v>
      </c>
      <c r="Z85">
        <v>0.17</v>
      </c>
      <c r="AB85">
        <v>120360000</v>
      </c>
      <c r="AC85">
        <v>58061664</v>
      </c>
      <c r="AD85">
        <v>120360000</v>
      </c>
      <c r="AE85">
        <v>58061664</v>
      </c>
      <c r="AG85">
        <v>99.83</v>
      </c>
      <c r="AH85">
        <v>48.24</v>
      </c>
      <c r="AI85">
        <v>1</v>
      </c>
      <c r="AJ85">
        <v>2.0695359999999998</v>
      </c>
      <c r="AK85">
        <v>0.2326</v>
      </c>
      <c r="AL85">
        <v>11.61</v>
      </c>
      <c r="AM85">
        <v>11612</v>
      </c>
      <c r="AN85">
        <v>1.2405999999999999</v>
      </c>
      <c r="AO85">
        <v>30</v>
      </c>
      <c r="AP85">
        <v>21.87</v>
      </c>
      <c r="AQ85">
        <v>0.72</v>
      </c>
      <c r="AR85">
        <v>-5.94</v>
      </c>
      <c r="AS85">
        <v>1.97</v>
      </c>
      <c r="AT85">
        <v>21.82</v>
      </c>
      <c r="AU85">
        <v>6666.69</v>
      </c>
      <c r="AV85">
        <v>35.81</v>
      </c>
      <c r="AW85">
        <v>11.65</v>
      </c>
      <c r="AX85">
        <v>8.8000000000000007</v>
      </c>
      <c r="AY85">
        <v>26.611975999999999</v>
      </c>
      <c r="AZ85">
        <v>97.530932000000007</v>
      </c>
      <c r="BA85">
        <v>-11.55092</v>
      </c>
      <c r="BB85">
        <v>-0.49699599999999999</v>
      </c>
      <c r="BC85">
        <v>11.55092</v>
      </c>
      <c r="BD85">
        <v>37.245793999999997</v>
      </c>
      <c r="BE85">
        <v>191.70124000000001</v>
      </c>
      <c r="BF85">
        <v>-8.6398740000000007</v>
      </c>
      <c r="BG85">
        <v>5.3789179999999996</v>
      </c>
      <c r="BH85">
        <v>8.6398740000000007</v>
      </c>
    </row>
    <row r="86" spans="1:60" x14ac:dyDescent="0.25">
      <c r="A86" t="s">
        <v>228</v>
      </c>
      <c r="B86" t="s">
        <v>229</v>
      </c>
      <c r="C86">
        <v>0</v>
      </c>
      <c r="D86" t="s">
        <v>230</v>
      </c>
      <c r="E86" cm="1">
        <f t="array" ref="E86">_xlfn.SWITCH(D86,"QPSK",0.1,"16QAM",0.25,"64QAM",0.5,"256QAM",0.8,"1024QAM",1,"")</f>
        <v>0.8</v>
      </c>
      <c r="F86" cm="1">
        <f t="array" ref="F86">_xlfn.SWITCH(D86,"QPSK",0.05,"16QAM",0.15,"64QAM",0.4,"256QAM",0.75,"1024QAM",1,"")</f>
        <v>0.75</v>
      </c>
      <c r="G86" t="s">
        <v>60</v>
      </c>
      <c r="H86">
        <v>1</v>
      </c>
      <c r="I86" t="s">
        <v>61</v>
      </c>
      <c r="J86">
        <v>2</v>
      </c>
      <c r="K86">
        <v>2</v>
      </c>
      <c r="L86" t="s">
        <v>62</v>
      </c>
      <c r="M86">
        <v>2</v>
      </c>
      <c r="N86">
        <v>0.47849999999999998</v>
      </c>
      <c r="O86">
        <v>0.48249999999999998</v>
      </c>
      <c r="P86">
        <v>5000</v>
      </c>
      <c r="Q86">
        <v>1250</v>
      </c>
      <c r="R86">
        <v>3750</v>
      </c>
      <c r="S86">
        <v>4</v>
      </c>
      <c r="T86">
        <v>3</v>
      </c>
      <c r="W86">
        <v>0</v>
      </c>
      <c r="X86">
        <v>0</v>
      </c>
      <c r="Y86">
        <v>100</v>
      </c>
      <c r="Z86">
        <v>100</v>
      </c>
      <c r="AB86">
        <v>240840000</v>
      </c>
      <c r="AC86">
        <v>0</v>
      </c>
      <c r="AD86">
        <v>240840000</v>
      </c>
      <c r="AE86">
        <v>0</v>
      </c>
      <c r="AG86">
        <v>0</v>
      </c>
      <c r="AH86">
        <v>0</v>
      </c>
      <c r="AI86">
        <v>1</v>
      </c>
      <c r="AJ86">
        <v>4</v>
      </c>
      <c r="AK86">
        <v>0</v>
      </c>
      <c r="AL86">
        <v>0</v>
      </c>
      <c r="AM86">
        <v>0</v>
      </c>
      <c r="AN86">
        <v>0</v>
      </c>
      <c r="AO86">
        <v>30</v>
      </c>
      <c r="AP86">
        <v>21.87</v>
      </c>
      <c r="AQ86">
        <v>0.72</v>
      </c>
      <c r="AR86">
        <v>-5.73</v>
      </c>
      <c r="AS86">
        <v>1.84</v>
      </c>
      <c r="AT86">
        <v>10.6</v>
      </c>
      <c r="AU86">
        <v>6666.69</v>
      </c>
      <c r="AV86">
        <v>35.81</v>
      </c>
      <c r="AW86">
        <v>19.96</v>
      </c>
      <c r="AX86">
        <v>16.77</v>
      </c>
      <c r="AY86">
        <v>16.672225999999998</v>
      </c>
      <c r="AZ86">
        <v>142.55853400000001</v>
      </c>
      <c r="BA86">
        <v>-15.627808</v>
      </c>
      <c r="BB86">
        <v>2.9397899999999999</v>
      </c>
      <c r="BC86">
        <v>15.627808</v>
      </c>
      <c r="BD86">
        <v>24.851621999999999</v>
      </c>
      <c r="BE86">
        <v>242.20615000000001</v>
      </c>
      <c r="BF86">
        <v>-12.191076000000001</v>
      </c>
      <c r="BG86">
        <v>7.4288699999999999</v>
      </c>
      <c r="BH86">
        <v>12.191076000000001</v>
      </c>
    </row>
    <row r="87" spans="1:60" x14ac:dyDescent="0.25">
      <c r="A87" t="s">
        <v>231</v>
      </c>
      <c r="B87" t="s">
        <v>232</v>
      </c>
      <c r="C87">
        <v>0</v>
      </c>
      <c r="D87" t="s">
        <v>230</v>
      </c>
      <c r="E87" cm="1">
        <f t="array" ref="E87">_xlfn.SWITCH(D87,"QPSK",0.1,"16QAM",0.25,"64QAM",0.5,"256QAM",0.8,"1024QAM",1,"")</f>
        <v>0.8</v>
      </c>
      <c r="F87" cm="1">
        <f t="array" ref="F87">_xlfn.SWITCH(D87,"QPSK",0.05,"16QAM",0.15,"64QAM",0.4,"256QAM",0.75,"1024QAM",1,"")</f>
        <v>0.75</v>
      </c>
      <c r="G87" t="s">
        <v>60</v>
      </c>
      <c r="H87">
        <v>4</v>
      </c>
      <c r="I87" t="s">
        <v>61</v>
      </c>
      <c r="J87">
        <v>2</v>
      </c>
      <c r="K87">
        <v>2</v>
      </c>
      <c r="L87" t="s">
        <v>62</v>
      </c>
      <c r="M87">
        <v>2</v>
      </c>
      <c r="N87">
        <v>0.47849999999999998</v>
      </c>
      <c r="O87">
        <v>0.48249999999999998</v>
      </c>
      <c r="P87">
        <v>5000</v>
      </c>
      <c r="Q87">
        <v>1252</v>
      </c>
      <c r="R87">
        <v>3748</v>
      </c>
      <c r="S87">
        <v>3.99</v>
      </c>
      <c r="T87">
        <v>2.99</v>
      </c>
      <c r="W87">
        <v>0</v>
      </c>
      <c r="X87">
        <v>0</v>
      </c>
      <c r="Y87">
        <v>100</v>
      </c>
      <c r="Z87">
        <v>100</v>
      </c>
      <c r="AB87">
        <v>240840000</v>
      </c>
      <c r="AC87">
        <v>0</v>
      </c>
      <c r="AD87">
        <v>240840000</v>
      </c>
      <c r="AE87">
        <v>0</v>
      </c>
      <c r="AG87">
        <v>0</v>
      </c>
      <c r="AH87">
        <v>0</v>
      </c>
      <c r="AI87">
        <v>1</v>
      </c>
      <c r="AJ87">
        <v>3.9936099999999999</v>
      </c>
      <c r="AK87">
        <v>0</v>
      </c>
      <c r="AL87">
        <v>0</v>
      </c>
      <c r="AM87">
        <v>0</v>
      </c>
      <c r="AN87">
        <v>0</v>
      </c>
      <c r="AO87">
        <v>30</v>
      </c>
      <c r="AP87">
        <v>21.87</v>
      </c>
      <c r="AQ87">
        <v>0.72</v>
      </c>
      <c r="AR87">
        <v>-5.72</v>
      </c>
      <c r="AS87">
        <v>1.84</v>
      </c>
      <c r="AT87">
        <v>10.58</v>
      </c>
      <c r="AU87">
        <v>6666.69</v>
      </c>
      <c r="AV87">
        <v>35.81</v>
      </c>
      <c r="AW87">
        <v>19.97</v>
      </c>
      <c r="AX87">
        <v>16.78</v>
      </c>
      <c r="AY87">
        <v>16.664878000000002</v>
      </c>
      <c r="AZ87">
        <v>142.48107200000001</v>
      </c>
      <c r="BA87">
        <v>-15.63147</v>
      </c>
      <c r="BB87">
        <v>2.9329019999999999</v>
      </c>
      <c r="BC87">
        <v>15.63147</v>
      </c>
      <c r="BD87">
        <v>24.839777999999999</v>
      </c>
      <c r="BE87">
        <v>242.308436</v>
      </c>
      <c r="BF87">
        <v>-12.193453999999999</v>
      </c>
      <c r="BG87">
        <v>7.4374260000000003</v>
      </c>
      <c r="BH87">
        <v>12.193453999999999</v>
      </c>
    </row>
    <row r="88" spans="1:60" x14ac:dyDescent="0.25">
      <c r="A88" t="s">
        <v>233</v>
      </c>
      <c r="B88" t="s">
        <v>234</v>
      </c>
      <c r="C88">
        <v>0</v>
      </c>
      <c r="D88" t="s">
        <v>230</v>
      </c>
      <c r="E88" cm="1">
        <f t="array" ref="E88">_xlfn.SWITCH(D88,"QPSK",0.1,"16QAM",0.25,"64QAM",0.5,"256QAM",0.8,"1024QAM",1,"")</f>
        <v>0.8</v>
      </c>
      <c r="F88" cm="1">
        <f t="array" ref="F88">_xlfn.SWITCH(D88,"QPSK",0.05,"16QAM",0.15,"64QAM",0.4,"256QAM",0.75,"1024QAM",1,"")</f>
        <v>0.75</v>
      </c>
      <c r="G88" t="s">
        <v>60</v>
      </c>
      <c r="H88">
        <v>8</v>
      </c>
      <c r="I88" t="s">
        <v>61</v>
      </c>
      <c r="J88">
        <v>2</v>
      </c>
      <c r="K88">
        <v>2</v>
      </c>
      <c r="L88" t="s">
        <v>62</v>
      </c>
      <c r="M88">
        <v>2</v>
      </c>
      <c r="N88">
        <v>0.47849999999999998</v>
      </c>
      <c r="O88">
        <v>0.48249999999999998</v>
      </c>
      <c r="P88">
        <v>5000</v>
      </c>
      <c r="Q88">
        <v>1256</v>
      </c>
      <c r="R88">
        <v>3744</v>
      </c>
      <c r="S88">
        <v>3.98</v>
      </c>
      <c r="T88">
        <v>2.98</v>
      </c>
      <c r="W88">
        <v>0</v>
      </c>
      <c r="X88">
        <v>0</v>
      </c>
      <c r="Y88">
        <v>100</v>
      </c>
      <c r="Z88">
        <v>100</v>
      </c>
      <c r="AB88">
        <v>240840000</v>
      </c>
      <c r="AC88">
        <v>0</v>
      </c>
      <c r="AD88">
        <v>240840000</v>
      </c>
      <c r="AE88">
        <v>0</v>
      </c>
      <c r="AG88">
        <v>0</v>
      </c>
      <c r="AH88">
        <v>0</v>
      </c>
      <c r="AI88">
        <v>1</v>
      </c>
      <c r="AJ88">
        <v>3.9808919999999999</v>
      </c>
      <c r="AK88">
        <v>0</v>
      </c>
      <c r="AL88">
        <v>0</v>
      </c>
      <c r="AM88">
        <v>0</v>
      </c>
      <c r="AN88">
        <v>0</v>
      </c>
      <c r="AO88">
        <v>30</v>
      </c>
      <c r="AP88">
        <v>21.87</v>
      </c>
      <c r="AQ88">
        <v>0.72</v>
      </c>
      <c r="AR88">
        <v>-5.73</v>
      </c>
      <c r="AS88">
        <v>1.85</v>
      </c>
      <c r="AT88">
        <v>10.4</v>
      </c>
      <c r="AU88">
        <v>6666.69</v>
      </c>
      <c r="AV88">
        <v>35.81</v>
      </c>
      <c r="AW88">
        <v>19.96</v>
      </c>
      <c r="AX88">
        <v>16.77</v>
      </c>
      <c r="AY88">
        <v>16.665554</v>
      </c>
      <c r="AZ88">
        <v>142.77551800000001</v>
      </c>
      <c r="BA88">
        <v>-15.631816000000001</v>
      </c>
      <c r="BB88">
        <v>2.9480580000000001</v>
      </c>
      <c r="BC88">
        <v>15.631816000000001</v>
      </c>
      <c r="BD88">
        <v>24.865079999999999</v>
      </c>
      <c r="BE88">
        <v>242.481784</v>
      </c>
      <c r="BF88">
        <v>-12.186882000000001</v>
      </c>
      <c r="BG88">
        <v>7.4399600000000001</v>
      </c>
      <c r="BH88">
        <v>12.186882000000001</v>
      </c>
    </row>
    <row r="89" spans="1:60" x14ac:dyDescent="0.25">
      <c r="A89" t="s">
        <v>235</v>
      </c>
      <c r="B89" t="s">
        <v>236</v>
      </c>
      <c r="C89">
        <v>10</v>
      </c>
      <c r="D89" t="s">
        <v>230</v>
      </c>
      <c r="E89" cm="1">
        <f t="array" ref="E89">_xlfn.SWITCH(D89,"QPSK",0.1,"16QAM",0.25,"64QAM",0.5,"256QAM",0.8,"1024QAM",1,"")</f>
        <v>0.8</v>
      </c>
      <c r="F89" cm="1">
        <f t="array" ref="F89">_xlfn.SWITCH(D89,"QPSK",0.05,"16QAM",0.15,"64QAM",0.4,"256QAM",0.75,"1024QAM",1,"")</f>
        <v>0.75</v>
      </c>
      <c r="G89" t="s">
        <v>60</v>
      </c>
      <c r="H89">
        <v>1</v>
      </c>
      <c r="I89" t="s">
        <v>61</v>
      </c>
      <c r="J89">
        <v>2</v>
      </c>
      <c r="K89">
        <v>2</v>
      </c>
      <c r="L89" t="s">
        <v>62</v>
      </c>
      <c r="M89">
        <v>2</v>
      </c>
      <c r="N89">
        <v>0.47849999999999998</v>
      </c>
      <c r="O89">
        <v>0.48249999999999998</v>
      </c>
      <c r="P89">
        <v>5000</v>
      </c>
      <c r="Q89">
        <v>1448</v>
      </c>
      <c r="R89">
        <v>3552</v>
      </c>
      <c r="S89">
        <v>3.45</v>
      </c>
      <c r="T89">
        <v>2.4500000000000002</v>
      </c>
      <c r="W89">
        <v>1173</v>
      </c>
      <c r="X89">
        <v>0</v>
      </c>
      <c r="Y89">
        <v>76.540000000000006</v>
      </c>
      <c r="Z89">
        <v>18.989999999999998</v>
      </c>
      <c r="AB89">
        <v>240840000</v>
      </c>
      <c r="AC89">
        <v>56501064</v>
      </c>
      <c r="AD89">
        <v>240840000</v>
      </c>
      <c r="AE89">
        <v>56501064</v>
      </c>
      <c r="AG89">
        <v>81.010000000000005</v>
      </c>
      <c r="AH89">
        <v>23.46</v>
      </c>
      <c r="AI89">
        <v>1</v>
      </c>
      <c r="AJ89">
        <v>3.453039</v>
      </c>
      <c r="AK89">
        <v>0.1132</v>
      </c>
      <c r="AL89">
        <v>11.3</v>
      </c>
      <c r="AM89">
        <v>11300</v>
      </c>
      <c r="AN89">
        <v>1.2073</v>
      </c>
      <c r="AO89">
        <v>30</v>
      </c>
      <c r="AP89">
        <v>21.87</v>
      </c>
      <c r="AQ89">
        <v>0.72</v>
      </c>
      <c r="AR89">
        <v>-5.93</v>
      </c>
      <c r="AS89">
        <v>1.98</v>
      </c>
      <c r="AT89">
        <v>22.95</v>
      </c>
      <c r="AU89">
        <v>6666.69</v>
      </c>
      <c r="AV89">
        <v>35.81</v>
      </c>
      <c r="AW89">
        <v>21.21</v>
      </c>
      <c r="AX89">
        <v>19.149999999999999</v>
      </c>
      <c r="AY89">
        <v>9.6427519999999998</v>
      </c>
      <c r="AZ89">
        <v>81.839706000000007</v>
      </c>
      <c r="BA89">
        <v>-20.398385999999999</v>
      </c>
      <c r="BB89">
        <v>-2.2372679999999998</v>
      </c>
      <c r="BC89">
        <v>20.398385999999999</v>
      </c>
      <c r="BD89">
        <v>17.708676000000001</v>
      </c>
      <c r="BE89">
        <v>160.66990200000001</v>
      </c>
      <c r="BF89">
        <v>-15.233618</v>
      </c>
      <c r="BG89">
        <v>3.8669220000000002</v>
      </c>
      <c r="BH89">
        <v>15.233618</v>
      </c>
    </row>
    <row r="90" spans="1:60" x14ac:dyDescent="0.25">
      <c r="A90" t="s">
        <v>237</v>
      </c>
      <c r="B90" t="s">
        <v>238</v>
      </c>
      <c r="C90">
        <v>10</v>
      </c>
      <c r="D90" t="s">
        <v>230</v>
      </c>
      <c r="E90" cm="1">
        <f t="array" ref="E90">_xlfn.SWITCH(D90,"QPSK",0.1,"16QAM",0.25,"64QAM",0.5,"256QAM",0.8,"1024QAM",1,"")</f>
        <v>0.8</v>
      </c>
      <c r="F90" cm="1">
        <f t="array" ref="F90">_xlfn.SWITCH(D90,"QPSK",0.05,"16QAM",0.15,"64QAM",0.4,"256QAM",0.75,"1024QAM",1,"")</f>
        <v>0.75</v>
      </c>
      <c r="G90" t="s">
        <v>60</v>
      </c>
      <c r="H90">
        <v>1</v>
      </c>
      <c r="I90" t="s">
        <v>61</v>
      </c>
      <c r="J90">
        <v>2</v>
      </c>
      <c r="K90">
        <v>2</v>
      </c>
      <c r="L90" t="s">
        <v>62</v>
      </c>
      <c r="M90">
        <v>2</v>
      </c>
      <c r="N90">
        <v>0.47849999999999998</v>
      </c>
      <c r="O90">
        <v>0.48249999999999998</v>
      </c>
      <c r="P90">
        <v>5000</v>
      </c>
      <c r="Q90">
        <v>1449</v>
      </c>
      <c r="R90">
        <v>3551</v>
      </c>
      <c r="S90">
        <v>3.45</v>
      </c>
      <c r="T90">
        <v>2.4500000000000002</v>
      </c>
      <c r="W90">
        <v>1176</v>
      </c>
      <c r="X90">
        <v>0</v>
      </c>
      <c r="Y90">
        <v>76.48</v>
      </c>
      <c r="Z90">
        <v>18.84</v>
      </c>
      <c r="AB90">
        <v>240840000</v>
      </c>
      <c r="AC90">
        <v>56645568</v>
      </c>
      <c r="AD90">
        <v>240840000</v>
      </c>
      <c r="AE90">
        <v>56645568</v>
      </c>
      <c r="AG90">
        <v>81.16</v>
      </c>
      <c r="AH90">
        <v>23.52</v>
      </c>
      <c r="AI90">
        <v>1</v>
      </c>
      <c r="AJ90">
        <v>3.4506559999999999</v>
      </c>
      <c r="AK90">
        <v>0.1135</v>
      </c>
      <c r="AL90">
        <v>11.33</v>
      </c>
      <c r="AM90">
        <v>11329</v>
      </c>
      <c r="AN90">
        <v>1.2103999999999999</v>
      </c>
      <c r="AO90">
        <v>30</v>
      </c>
      <c r="AP90">
        <v>21.87</v>
      </c>
      <c r="AQ90">
        <v>0.72</v>
      </c>
      <c r="AR90">
        <v>-5.93</v>
      </c>
      <c r="AS90">
        <v>1.98</v>
      </c>
      <c r="AT90">
        <v>22.77</v>
      </c>
      <c r="AU90">
        <v>6666.69</v>
      </c>
      <c r="AV90">
        <v>35.81</v>
      </c>
      <c r="AW90">
        <v>21.2</v>
      </c>
      <c r="AX90">
        <v>19.149999999999999</v>
      </c>
      <c r="AY90">
        <v>9.6498380000000008</v>
      </c>
      <c r="AZ90">
        <v>81.959798000000006</v>
      </c>
      <c r="BA90">
        <v>-20.392654</v>
      </c>
      <c r="BB90">
        <v>-2.2248559999999999</v>
      </c>
      <c r="BC90">
        <v>20.392654</v>
      </c>
      <c r="BD90">
        <v>17.716998</v>
      </c>
      <c r="BE90">
        <v>161.17713800000001</v>
      </c>
      <c r="BF90">
        <v>-15.230779999999999</v>
      </c>
      <c r="BG90">
        <v>3.8851239999999998</v>
      </c>
      <c r="BH90">
        <v>15.230779999999999</v>
      </c>
    </row>
    <row r="91" spans="1:60" x14ac:dyDescent="0.25">
      <c r="A91" t="s">
        <v>239</v>
      </c>
      <c r="B91" t="s">
        <v>240</v>
      </c>
      <c r="C91">
        <v>10</v>
      </c>
      <c r="D91" t="s">
        <v>230</v>
      </c>
      <c r="E91" cm="1">
        <f t="array" ref="E91">_xlfn.SWITCH(D91,"QPSK",0.1,"16QAM",0.25,"64QAM",0.5,"256QAM",0.8,"1024QAM",1,"")</f>
        <v>0.8</v>
      </c>
      <c r="F91" cm="1">
        <f t="array" ref="F91">_xlfn.SWITCH(D91,"QPSK",0.05,"16QAM",0.15,"64QAM",0.4,"256QAM",0.75,"1024QAM",1,"")</f>
        <v>0.75</v>
      </c>
      <c r="G91" t="s">
        <v>60</v>
      </c>
      <c r="H91">
        <v>4</v>
      </c>
      <c r="I91" t="s">
        <v>61</v>
      </c>
      <c r="J91">
        <v>2</v>
      </c>
      <c r="K91">
        <v>2</v>
      </c>
      <c r="L91" t="s">
        <v>62</v>
      </c>
      <c r="M91">
        <v>2</v>
      </c>
      <c r="N91">
        <v>0.47849999999999998</v>
      </c>
      <c r="O91">
        <v>0.48249999999999998</v>
      </c>
      <c r="P91">
        <v>5000</v>
      </c>
      <c r="Q91">
        <v>1436</v>
      </c>
      <c r="R91">
        <v>3564</v>
      </c>
      <c r="S91">
        <v>3.48</v>
      </c>
      <c r="T91">
        <v>2.48</v>
      </c>
      <c r="W91">
        <v>1178</v>
      </c>
      <c r="X91">
        <v>0</v>
      </c>
      <c r="Y91">
        <v>76.44</v>
      </c>
      <c r="Z91">
        <v>17.97</v>
      </c>
      <c r="AB91">
        <v>240840000</v>
      </c>
      <c r="AC91">
        <v>56741904</v>
      </c>
      <c r="AD91">
        <v>240840000</v>
      </c>
      <c r="AE91">
        <v>56741904</v>
      </c>
      <c r="AG91">
        <v>82.03</v>
      </c>
      <c r="AH91">
        <v>23.56</v>
      </c>
      <c r="AI91">
        <v>1</v>
      </c>
      <c r="AJ91">
        <v>3.481894</v>
      </c>
      <c r="AK91">
        <v>0.1137</v>
      </c>
      <c r="AL91">
        <v>11.35</v>
      </c>
      <c r="AM91">
        <v>11348</v>
      </c>
      <c r="AN91">
        <v>1.2123999999999999</v>
      </c>
      <c r="AO91">
        <v>30</v>
      </c>
      <c r="AP91">
        <v>21.87</v>
      </c>
      <c r="AQ91">
        <v>0.72</v>
      </c>
      <c r="AR91">
        <v>-5.93</v>
      </c>
      <c r="AS91">
        <v>1.98</v>
      </c>
      <c r="AT91">
        <v>22.6</v>
      </c>
      <c r="AU91">
        <v>6666.69</v>
      </c>
      <c r="AV91">
        <v>35.81</v>
      </c>
      <c r="AW91">
        <v>21.2</v>
      </c>
      <c r="AX91">
        <v>19.14</v>
      </c>
      <c r="AY91">
        <v>9.6509300000000007</v>
      </c>
      <c r="AZ91">
        <v>81.848522000000003</v>
      </c>
      <c r="BA91">
        <v>-20.390930000000001</v>
      </c>
      <c r="BB91">
        <v>-2.2241840000000002</v>
      </c>
      <c r="BC91">
        <v>20.390930000000001</v>
      </c>
      <c r="BD91">
        <v>17.730436000000001</v>
      </c>
      <c r="BE91">
        <v>161.98912799999999</v>
      </c>
      <c r="BF91">
        <v>-15.225092</v>
      </c>
      <c r="BG91">
        <v>3.9269919999999998</v>
      </c>
      <c r="BH91">
        <v>15.225092</v>
      </c>
    </row>
    <row r="92" spans="1:60" x14ac:dyDescent="0.25">
      <c r="A92" t="s">
        <v>241</v>
      </c>
      <c r="B92" t="s">
        <v>242</v>
      </c>
      <c r="C92">
        <v>10</v>
      </c>
      <c r="D92" t="s">
        <v>230</v>
      </c>
      <c r="E92" cm="1">
        <f t="array" ref="E92">_xlfn.SWITCH(D92,"QPSK",0.1,"16QAM",0.25,"64QAM",0.5,"256QAM",0.8,"1024QAM",1,"")</f>
        <v>0.8</v>
      </c>
      <c r="F92" cm="1">
        <f t="array" ref="F92">_xlfn.SWITCH(D92,"QPSK",0.05,"16QAM",0.15,"64QAM",0.4,"256QAM",0.75,"1024QAM",1,"")</f>
        <v>0.75</v>
      </c>
      <c r="G92" t="s">
        <v>60</v>
      </c>
      <c r="H92">
        <v>4</v>
      </c>
      <c r="I92" t="s">
        <v>61</v>
      </c>
      <c r="J92">
        <v>2</v>
      </c>
      <c r="K92">
        <v>2</v>
      </c>
      <c r="L92" t="s">
        <v>62</v>
      </c>
      <c r="M92">
        <v>2</v>
      </c>
      <c r="N92">
        <v>0.47849999999999998</v>
      </c>
      <c r="O92">
        <v>0.48249999999999998</v>
      </c>
      <c r="P92">
        <v>5000</v>
      </c>
      <c r="Q92">
        <v>1437</v>
      </c>
      <c r="R92">
        <v>3563</v>
      </c>
      <c r="S92">
        <v>3.48</v>
      </c>
      <c r="T92">
        <v>2.48</v>
      </c>
      <c r="W92">
        <v>1176</v>
      </c>
      <c r="X92">
        <v>0</v>
      </c>
      <c r="Y92">
        <v>76.48</v>
      </c>
      <c r="Z92">
        <v>18.16</v>
      </c>
      <c r="AB92">
        <v>240840000</v>
      </c>
      <c r="AC92">
        <v>56645568</v>
      </c>
      <c r="AD92">
        <v>240840000</v>
      </c>
      <c r="AE92">
        <v>56645568</v>
      </c>
      <c r="AG92">
        <v>81.84</v>
      </c>
      <c r="AH92">
        <v>23.52</v>
      </c>
      <c r="AI92">
        <v>1</v>
      </c>
      <c r="AJ92">
        <v>3.4794710000000002</v>
      </c>
      <c r="AK92">
        <v>0.1135</v>
      </c>
      <c r="AL92">
        <v>11.33</v>
      </c>
      <c r="AM92">
        <v>11329</v>
      </c>
      <c r="AN92">
        <v>1.2103999999999999</v>
      </c>
      <c r="AO92">
        <v>30</v>
      </c>
      <c r="AP92">
        <v>21.87</v>
      </c>
      <c r="AQ92">
        <v>0.72</v>
      </c>
      <c r="AR92">
        <v>-5.93</v>
      </c>
      <c r="AS92">
        <v>1.98</v>
      </c>
      <c r="AT92">
        <v>22.79</v>
      </c>
      <c r="AU92">
        <v>6666.69</v>
      </c>
      <c r="AV92">
        <v>35.81</v>
      </c>
      <c r="AW92">
        <v>21.2</v>
      </c>
      <c r="AX92">
        <v>19.14</v>
      </c>
      <c r="AY92">
        <v>9.6476659999999992</v>
      </c>
      <c r="AZ92">
        <v>81.731877999999995</v>
      </c>
      <c r="BA92">
        <v>-20.393794</v>
      </c>
      <c r="BB92">
        <v>-2.239922</v>
      </c>
      <c r="BC92">
        <v>20.393794</v>
      </c>
      <c r="BD92">
        <v>17.735626</v>
      </c>
      <c r="BE92">
        <v>161.28882200000001</v>
      </c>
      <c r="BF92">
        <v>-15.223444000000001</v>
      </c>
      <c r="BG92">
        <v>3.8935339999999998</v>
      </c>
      <c r="BH92">
        <v>15.223444000000001</v>
      </c>
    </row>
    <row r="93" spans="1:60" x14ac:dyDescent="0.25">
      <c r="A93" t="s">
        <v>243</v>
      </c>
      <c r="B93" t="s">
        <v>244</v>
      </c>
      <c r="C93">
        <v>10</v>
      </c>
      <c r="D93" t="s">
        <v>230</v>
      </c>
      <c r="E93" cm="1">
        <f t="array" ref="E93">_xlfn.SWITCH(D93,"QPSK",0.1,"16QAM",0.25,"64QAM",0.5,"256QAM",0.8,"1024QAM",1,"")</f>
        <v>0.8</v>
      </c>
      <c r="F93" cm="1">
        <f t="array" ref="F93">_xlfn.SWITCH(D93,"QPSK",0.05,"16QAM",0.15,"64QAM",0.4,"256QAM",0.75,"1024QAM",1,"")</f>
        <v>0.75</v>
      </c>
      <c r="G93" t="s">
        <v>60</v>
      </c>
      <c r="H93">
        <v>8</v>
      </c>
      <c r="I93" t="s">
        <v>61</v>
      </c>
      <c r="J93">
        <v>2</v>
      </c>
      <c r="K93">
        <v>2</v>
      </c>
      <c r="L93" t="s">
        <v>62</v>
      </c>
      <c r="M93">
        <v>2</v>
      </c>
      <c r="N93">
        <v>0.47849999999999998</v>
      </c>
      <c r="O93">
        <v>0.48249999999999998</v>
      </c>
      <c r="P93">
        <v>5000</v>
      </c>
      <c r="Q93">
        <v>1417</v>
      </c>
      <c r="R93">
        <v>3583</v>
      </c>
      <c r="S93">
        <v>3.53</v>
      </c>
      <c r="T93">
        <v>2.5299999999999998</v>
      </c>
      <c r="W93">
        <v>1182</v>
      </c>
      <c r="X93">
        <v>0</v>
      </c>
      <c r="Y93">
        <v>76.36</v>
      </c>
      <c r="Z93">
        <v>16.579999999999998</v>
      </c>
      <c r="AB93">
        <v>240840000</v>
      </c>
      <c r="AC93">
        <v>56934576</v>
      </c>
      <c r="AD93">
        <v>240840000</v>
      </c>
      <c r="AE93">
        <v>56934576</v>
      </c>
      <c r="AG93">
        <v>83.42</v>
      </c>
      <c r="AH93">
        <v>23.64</v>
      </c>
      <c r="AI93">
        <v>1</v>
      </c>
      <c r="AJ93">
        <v>3.5285820000000001</v>
      </c>
      <c r="AK93">
        <v>0.11409999999999999</v>
      </c>
      <c r="AL93">
        <v>11.39</v>
      </c>
      <c r="AM93">
        <v>11387</v>
      </c>
      <c r="AN93">
        <v>1.2165999999999999</v>
      </c>
      <c r="AO93">
        <v>30</v>
      </c>
      <c r="AP93">
        <v>21.87</v>
      </c>
      <c r="AQ93">
        <v>0.72</v>
      </c>
      <c r="AR93">
        <v>-5.93</v>
      </c>
      <c r="AS93">
        <v>1.98</v>
      </c>
      <c r="AT93">
        <v>22.73</v>
      </c>
      <c r="AU93">
        <v>6666.69</v>
      </c>
      <c r="AV93">
        <v>35.81</v>
      </c>
      <c r="AW93">
        <v>21.2</v>
      </c>
      <c r="AX93">
        <v>19.14</v>
      </c>
      <c r="AY93">
        <v>9.6470459999999996</v>
      </c>
      <c r="AZ93">
        <v>81.873666</v>
      </c>
      <c r="BA93">
        <v>-20.394002</v>
      </c>
      <c r="BB93">
        <v>-2.219668</v>
      </c>
      <c r="BC93">
        <v>20.394002</v>
      </c>
      <c r="BD93">
        <v>17.712841999999998</v>
      </c>
      <c r="BE93">
        <v>161.14544000000001</v>
      </c>
      <c r="BF93">
        <v>-15.2315</v>
      </c>
      <c r="BG93">
        <v>3.8875700000000002</v>
      </c>
      <c r="BH93">
        <v>15.2315</v>
      </c>
    </row>
    <row r="94" spans="1:60" x14ac:dyDescent="0.25">
      <c r="A94" t="s">
        <v>245</v>
      </c>
      <c r="B94" t="s">
        <v>246</v>
      </c>
      <c r="C94">
        <v>10</v>
      </c>
      <c r="D94" t="s">
        <v>230</v>
      </c>
      <c r="E94" cm="1">
        <f t="array" ref="E94">_xlfn.SWITCH(D94,"QPSK",0.1,"16QAM",0.25,"64QAM",0.5,"256QAM",0.8,"1024QAM",1,"")</f>
        <v>0.8</v>
      </c>
      <c r="F94" cm="1">
        <f t="array" ref="F94">_xlfn.SWITCH(D94,"QPSK",0.05,"16QAM",0.15,"64QAM",0.4,"256QAM",0.75,"1024QAM",1,"")</f>
        <v>0.75</v>
      </c>
      <c r="G94" t="s">
        <v>60</v>
      </c>
      <c r="H94">
        <v>8</v>
      </c>
      <c r="I94" t="s">
        <v>61</v>
      </c>
      <c r="J94">
        <v>2</v>
      </c>
      <c r="K94">
        <v>2</v>
      </c>
      <c r="L94" t="s">
        <v>62</v>
      </c>
      <c r="M94">
        <v>2</v>
      </c>
      <c r="N94">
        <v>0.47849999999999998</v>
      </c>
      <c r="O94">
        <v>0.48249999999999998</v>
      </c>
      <c r="P94">
        <v>5000</v>
      </c>
      <c r="Q94">
        <v>1424</v>
      </c>
      <c r="R94">
        <v>3576</v>
      </c>
      <c r="S94">
        <v>3.51</v>
      </c>
      <c r="T94">
        <v>2.5099999999999998</v>
      </c>
      <c r="W94">
        <v>1191</v>
      </c>
      <c r="X94">
        <v>0</v>
      </c>
      <c r="Y94">
        <v>76.180000000000007</v>
      </c>
      <c r="Z94">
        <v>16.36</v>
      </c>
      <c r="AB94">
        <v>240840000</v>
      </c>
      <c r="AC94">
        <v>57368088</v>
      </c>
      <c r="AD94">
        <v>240840000</v>
      </c>
      <c r="AE94">
        <v>57368088</v>
      </c>
      <c r="AG94">
        <v>83.64</v>
      </c>
      <c r="AH94">
        <v>23.82</v>
      </c>
      <c r="AI94">
        <v>1</v>
      </c>
      <c r="AJ94">
        <v>3.5112359999999998</v>
      </c>
      <c r="AK94">
        <v>0.1149</v>
      </c>
      <c r="AL94">
        <v>11.47</v>
      </c>
      <c r="AM94">
        <v>11474</v>
      </c>
      <c r="AN94">
        <v>1.2258</v>
      </c>
      <c r="AO94">
        <v>30</v>
      </c>
      <c r="AP94">
        <v>21.87</v>
      </c>
      <c r="AQ94">
        <v>0.72</v>
      </c>
      <c r="AR94">
        <v>-5.93</v>
      </c>
      <c r="AS94">
        <v>1.98</v>
      </c>
      <c r="AT94">
        <v>22.93</v>
      </c>
      <c r="AU94">
        <v>6666.69</v>
      </c>
      <c r="AV94">
        <v>35.81</v>
      </c>
      <c r="AW94">
        <v>21.21</v>
      </c>
      <c r="AX94">
        <v>19.149999999999999</v>
      </c>
      <c r="AY94">
        <v>9.6413159999999998</v>
      </c>
      <c r="AZ94">
        <v>81.581158000000002</v>
      </c>
      <c r="BA94">
        <v>-20.39958</v>
      </c>
      <c r="BB94">
        <v>-2.2517480000000001</v>
      </c>
      <c r="BC94">
        <v>20.39958</v>
      </c>
      <c r="BD94">
        <v>17.719643999999999</v>
      </c>
      <c r="BE94">
        <v>160.522144</v>
      </c>
      <c r="BF94">
        <v>-15.230703999999999</v>
      </c>
      <c r="BG94">
        <v>3.8568660000000001</v>
      </c>
      <c r="BH94">
        <v>15.230703999999999</v>
      </c>
    </row>
    <row r="95" spans="1:60" x14ac:dyDescent="0.25">
      <c r="A95" t="s">
        <v>247</v>
      </c>
      <c r="B95" t="s">
        <v>248</v>
      </c>
      <c r="C95">
        <v>12</v>
      </c>
      <c r="D95" t="s">
        <v>230</v>
      </c>
      <c r="E95" cm="1">
        <f t="array" ref="E95">_xlfn.SWITCH(D95,"QPSK",0.1,"16QAM",0.25,"64QAM",0.5,"256QAM",0.8,"1024QAM",1,"")</f>
        <v>0.8</v>
      </c>
      <c r="F95" cm="1">
        <f t="array" ref="F95">_xlfn.SWITCH(D95,"QPSK",0.05,"16QAM",0.15,"64QAM",0.4,"256QAM",0.75,"1024QAM",1,"")</f>
        <v>0.75</v>
      </c>
      <c r="G95" t="s">
        <v>60</v>
      </c>
      <c r="H95">
        <v>1</v>
      </c>
      <c r="I95" t="s">
        <v>61</v>
      </c>
      <c r="J95">
        <v>2</v>
      </c>
      <c r="K95">
        <v>2</v>
      </c>
      <c r="L95" t="s">
        <v>62</v>
      </c>
      <c r="M95">
        <v>2</v>
      </c>
      <c r="N95">
        <v>0.47849999999999998</v>
      </c>
      <c r="O95">
        <v>0.48249999999999998</v>
      </c>
      <c r="P95">
        <v>5000</v>
      </c>
      <c r="Q95">
        <v>1594</v>
      </c>
      <c r="R95">
        <v>3406</v>
      </c>
      <c r="S95">
        <v>3.14</v>
      </c>
      <c r="T95">
        <v>2.14</v>
      </c>
      <c r="W95">
        <v>1503</v>
      </c>
      <c r="X95">
        <v>0</v>
      </c>
      <c r="Y95">
        <v>69.94</v>
      </c>
      <c r="Z95">
        <v>5.71</v>
      </c>
      <c r="AB95">
        <v>240840000</v>
      </c>
      <c r="AC95">
        <v>72396504</v>
      </c>
      <c r="AD95">
        <v>240840000</v>
      </c>
      <c r="AE95">
        <v>72396504</v>
      </c>
      <c r="AG95">
        <v>94.29</v>
      </c>
      <c r="AH95">
        <v>30.06</v>
      </c>
      <c r="AI95">
        <v>1</v>
      </c>
      <c r="AJ95">
        <v>3.1367630000000002</v>
      </c>
      <c r="AK95">
        <v>0.14499999999999999</v>
      </c>
      <c r="AL95">
        <v>14.48</v>
      </c>
      <c r="AM95">
        <v>14479</v>
      </c>
      <c r="AN95">
        <v>1.5468999999999999</v>
      </c>
      <c r="AO95">
        <v>30</v>
      </c>
      <c r="AP95">
        <v>21.87</v>
      </c>
      <c r="AQ95">
        <v>0.72</v>
      </c>
      <c r="AR95">
        <v>-5.93</v>
      </c>
      <c r="AS95">
        <v>1.97</v>
      </c>
      <c r="AT95">
        <v>22.51</v>
      </c>
      <c r="AU95">
        <v>6666.69</v>
      </c>
      <c r="AV95">
        <v>35.81</v>
      </c>
      <c r="AW95">
        <v>21.42</v>
      </c>
      <c r="AX95">
        <v>18.920000000000002</v>
      </c>
      <c r="AY95">
        <v>9.0651379999999993</v>
      </c>
      <c r="AZ95">
        <v>80.660852000000006</v>
      </c>
      <c r="BA95">
        <v>-20.928792000000001</v>
      </c>
      <c r="BB95">
        <v>-2.4769420000000002</v>
      </c>
      <c r="BC95">
        <v>20.928792000000001</v>
      </c>
      <c r="BD95">
        <v>16.547146000000001</v>
      </c>
      <c r="BE95">
        <v>160.05950799999999</v>
      </c>
      <c r="BF95">
        <v>-15.800751999999999</v>
      </c>
      <c r="BG95">
        <v>3.8685619999999998</v>
      </c>
      <c r="BH95">
        <v>15.800751999999999</v>
      </c>
    </row>
    <row r="96" spans="1:60" x14ac:dyDescent="0.25">
      <c r="A96" t="s">
        <v>249</v>
      </c>
      <c r="B96" t="s">
        <v>250</v>
      </c>
      <c r="C96">
        <v>12</v>
      </c>
      <c r="D96" t="s">
        <v>230</v>
      </c>
      <c r="E96" cm="1">
        <f t="array" ref="E96">_xlfn.SWITCH(D96,"QPSK",0.1,"16QAM",0.25,"64QAM",0.5,"256QAM",0.8,"1024QAM",1,"")</f>
        <v>0.8</v>
      </c>
      <c r="F96" cm="1">
        <f t="array" ref="F96">_xlfn.SWITCH(D96,"QPSK",0.05,"16QAM",0.15,"64QAM",0.4,"256QAM",0.75,"1024QAM",1,"")</f>
        <v>0.75</v>
      </c>
      <c r="G96" t="s">
        <v>60</v>
      </c>
      <c r="H96">
        <v>4</v>
      </c>
      <c r="I96" t="s">
        <v>61</v>
      </c>
      <c r="J96">
        <v>2</v>
      </c>
      <c r="K96">
        <v>2</v>
      </c>
      <c r="L96" t="s">
        <v>62</v>
      </c>
      <c r="M96">
        <v>2</v>
      </c>
      <c r="N96">
        <v>0.47849999999999998</v>
      </c>
      <c r="O96">
        <v>0.48249999999999998</v>
      </c>
      <c r="P96">
        <v>5000</v>
      </c>
      <c r="Q96">
        <v>1594</v>
      </c>
      <c r="R96">
        <v>3406</v>
      </c>
      <c r="S96">
        <v>3.14</v>
      </c>
      <c r="T96">
        <v>2.14</v>
      </c>
      <c r="W96">
        <v>1511</v>
      </c>
      <c r="X96">
        <v>0</v>
      </c>
      <c r="Y96">
        <v>69.78</v>
      </c>
      <c r="Z96">
        <v>5.21</v>
      </c>
      <c r="AB96">
        <v>240840000</v>
      </c>
      <c r="AC96">
        <v>72781848</v>
      </c>
      <c r="AD96">
        <v>240840000</v>
      </c>
      <c r="AE96">
        <v>72781848</v>
      </c>
      <c r="AG96">
        <v>94.79</v>
      </c>
      <c r="AH96">
        <v>30.22</v>
      </c>
      <c r="AI96">
        <v>1</v>
      </c>
      <c r="AJ96">
        <v>3.1367630000000002</v>
      </c>
      <c r="AK96">
        <v>0.14580000000000001</v>
      </c>
      <c r="AL96">
        <v>14.56</v>
      </c>
      <c r="AM96">
        <v>14556</v>
      </c>
      <c r="AN96">
        <v>1.5551999999999999</v>
      </c>
      <c r="AO96">
        <v>30</v>
      </c>
      <c r="AP96">
        <v>21.87</v>
      </c>
      <c r="AQ96">
        <v>0.72</v>
      </c>
      <c r="AR96">
        <v>-5.93</v>
      </c>
      <c r="AS96">
        <v>1.97</v>
      </c>
      <c r="AT96">
        <v>22.17</v>
      </c>
      <c r="AU96">
        <v>6666.69</v>
      </c>
      <c r="AV96">
        <v>35.81</v>
      </c>
      <c r="AW96">
        <v>21.42</v>
      </c>
      <c r="AX96">
        <v>18.920000000000002</v>
      </c>
      <c r="AY96">
        <v>9.0672160000000002</v>
      </c>
      <c r="AZ96">
        <v>81.472431999999998</v>
      </c>
      <c r="BA96">
        <v>-20.926734</v>
      </c>
      <c r="BB96">
        <v>-2.4053520000000002</v>
      </c>
      <c r="BC96">
        <v>20.926734</v>
      </c>
      <c r="BD96">
        <v>16.548576000000001</v>
      </c>
      <c r="BE96">
        <v>160.12399600000001</v>
      </c>
      <c r="BF96">
        <v>-15.798764</v>
      </c>
      <c r="BG96">
        <v>3.8733279999999999</v>
      </c>
      <c r="BH96">
        <v>15.798764</v>
      </c>
    </row>
    <row r="97" spans="1:60" x14ac:dyDescent="0.25">
      <c r="A97" t="s">
        <v>251</v>
      </c>
      <c r="B97" t="s">
        <v>252</v>
      </c>
      <c r="C97">
        <v>12</v>
      </c>
      <c r="D97" t="s">
        <v>230</v>
      </c>
      <c r="E97" cm="1">
        <f t="array" ref="E97">_xlfn.SWITCH(D97,"QPSK",0.1,"16QAM",0.25,"64QAM",0.5,"256QAM",0.8,"1024QAM",1,"")</f>
        <v>0.8</v>
      </c>
      <c r="F97" cm="1">
        <f t="array" ref="F97">_xlfn.SWITCH(D97,"QPSK",0.05,"16QAM",0.15,"64QAM",0.4,"256QAM",0.75,"1024QAM",1,"")</f>
        <v>0.75</v>
      </c>
      <c r="G97" t="s">
        <v>60</v>
      </c>
      <c r="H97">
        <v>8</v>
      </c>
      <c r="I97" t="s">
        <v>61</v>
      </c>
      <c r="J97">
        <v>2</v>
      </c>
      <c r="K97">
        <v>2</v>
      </c>
      <c r="L97" t="s">
        <v>62</v>
      </c>
      <c r="M97">
        <v>2</v>
      </c>
      <c r="N97">
        <v>0.47849999999999998</v>
      </c>
      <c r="O97">
        <v>0.48249999999999998</v>
      </c>
      <c r="P97">
        <v>5000</v>
      </c>
      <c r="Q97">
        <v>1575</v>
      </c>
      <c r="R97">
        <v>3425</v>
      </c>
      <c r="S97">
        <v>3.17</v>
      </c>
      <c r="T97">
        <v>2.17</v>
      </c>
      <c r="W97">
        <v>1511</v>
      </c>
      <c r="X97">
        <v>0</v>
      </c>
      <c r="Y97">
        <v>69.78</v>
      </c>
      <c r="Z97">
        <v>4.0599999999999996</v>
      </c>
      <c r="AB97">
        <v>240840000</v>
      </c>
      <c r="AC97">
        <v>72781848</v>
      </c>
      <c r="AD97">
        <v>240840000</v>
      </c>
      <c r="AE97">
        <v>72781848</v>
      </c>
      <c r="AG97">
        <v>95.94</v>
      </c>
      <c r="AH97">
        <v>30.22</v>
      </c>
      <c r="AI97">
        <v>1</v>
      </c>
      <c r="AJ97">
        <v>3.1746029999999998</v>
      </c>
      <c r="AK97">
        <v>0.14580000000000001</v>
      </c>
      <c r="AL97">
        <v>14.56</v>
      </c>
      <c r="AM97">
        <v>14556</v>
      </c>
      <c r="AN97">
        <v>1.5551999999999999</v>
      </c>
      <c r="AO97">
        <v>30</v>
      </c>
      <c r="AP97">
        <v>21.87</v>
      </c>
      <c r="AQ97">
        <v>0.72</v>
      </c>
      <c r="AR97">
        <v>-5.93</v>
      </c>
      <c r="AS97">
        <v>1.98</v>
      </c>
      <c r="AT97">
        <v>22.53</v>
      </c>
      <c r="AU97">
        <v>6666.69</v>
      </c>
      <c r="AV97">
        <v>35.81</v>
      </c>
      <c r="AW97">
        <v>21.42</v>
      </c>
      <c r="AX97">
        <v>18.91</v>
      </c>
      <c r="AY97">
        <v>9.0593959999999996</v>
      </c>
      <c r="AZ97">
        <v>81.256643999999994</v>
      </c>
      <c r="BA97">
        <v>-20.933748000000001</v>
      </c>
      <c r="BB97">
        <v>-2.425316</v>
      </c>
      <c r="BC97">
        <v>20.933748000000001</v>
      </c>
      <c r="BD97">
        <v>16.557286000000001</v>
      </c>
      <c r="BE97">
        <v>160.02680799999999</v>
      </c>
      <c r="BF97">
        <v>-15.794654</v>
      </c>
      <c r="BG97">
        <v>3.872474</v>
      </c>
      <c r="BH97">
        <v>15.794654</v>
      </c>
    </row>
    <row r="98" spans="1:60" x14ac:dyDescent="0.25">
      <c r="A98" t="s">
        <v>253</v>
      </c>
      <c r="B98" t="s">
        <v>254</v>
      </c>
      <c r="C98">
        <v>14</v>
      </c>
      <c r="D98" t="s">
        <v>230</v>
      </c>
      <c r="E98" cm="1">
        <f t="array" ref="E98">_xlfn.SWITCH(D98,"QPSK",0.1,"16QAM",0.25,"64QAM",0.5,"256QAM",0.8,"1024QAM",1,"")</f>
        <v>0.8</v>
      </c>
      <c r="F98" cm="1">
        <f t="array" ref="F98">_xlfn.SWITCH(D98,"QPSK",0.05,"16QAM",0.15,"64QAM",0.4,"256QAM",0.75,"1024QAM",1,"")</f>
        <v>0.75</v>
      </c>
      <c r="G98" t="s">
        <v>60</v>
      </c>
      <c r="H98">
        <v>1</v>
      </c>
      <c r="I98" t="s">
        <v>61</v>
      </c>
      <c r="J98">
        <v>2</v>
      </c>
      <c r="K98">
        <v>2</v>
      </c>
      <c r="L98" t="s">
        <v>62</v>
      </c>
      <c r="M98">
        <v>2</v>
      </c>
      <c r="N98">
        <v>0.47849999999999998</v>
      </c>
      <c r="O98">
        <v>0.48249999999999998</v>
      </c>
      <c r="P98">
        <v>5000</v>
      </c>
      <c r="Q98">
        <v>1886</v>
      </c>
      <c r="R98">
        <v>3114</v>
      </c>
      <c r="S98">
        <v>2.65</v>
      </c>
      <c r="T98">
        <v>1.65</v>
      </c>
      <c r="W98">
        <v>1869</v>
      </c>
      <c r="X98">
        <v>0</v>
      </c>
      <c r="Y98">
        <v>62.62</v>
      </c>
      <c r="Z98">
        <v>0.9</v>
      </c>
      <c r="AB98">
        <v>240840000</v>
      </c>
      <c r="AC98">
        <v>90025992</v>
      </c>
      <c r="AD98">
        <v>240840000</v>
      </c>
      <c r="AE98">
        <v>90025992</v>
      </c>
      <c r="AG98">
        <v>99.1</v>
      </c>
      <c r="AH98">
        <v>37.380000000000003</v>
      </c>
      <c r="AI98">
        <v>1</v>
      </c>
      <c r="AJ98">
        <v>2.6511130000000001</v>
      </c>
      <c r="AK98">
        <v>0.18029999999999999</v>
      </c>
      <c r="AL98">
        <v>18.010000000000002</v>
      </c>
      <c r="AM98">
        <v>18005</v>
      </c>
      <c r="AN98">
        <v>1.9236</v>
      </c>
      <c r="AO98">
        <v>30</v>
      </c>
      <c r="AP98">
        <v>21.87</v>
      </c>
      <c r="AQ98">
        <v>0.72</v>
      </c>
      <c r="AR98">
        <v>-5.94</v>
      </c>
      <c r="AS98">
        <v>1.96</v>
      </c>
      <c r="AT98">
        <v>22.64</v>
      </c>
      <c r="AU98">
        <v>6666.69</v>
      </c>
      <c r="AV98">
        <v>35.81</v>
      </c>
      <c r="AW98">
        <v>21.81</v>
      </c>
      <c r="AX98">
        <v>18.87</v>
      </c>
      <c r="AY98">
        <v>8.4472699999999996</v>
      </c>
      <c r="AZ98">
        <v>75.979461999999998</v>
      </c>
      <c r="BA98">
        <v>-21.528915999999999</v>
      </c>
      <c r="BB98">
        <v>-3.0076299999999998</v>
      </c>
      <c r="BC98">
        <v>21.528915999999999</v>
      </c>
      <c r="BD98">
        <v>15.2514</v>
      </c>
      <c r="BE98">
        <v>156.64769799999999</v>
      </c>
      <c r="BF98">
        <v>-16.511554</v>
      </c>
      <c r="BG98">
        <v>3.6731379999999998</v>
      </c>
      <c r="BH98">
        <v>16.511554</v>
      </c>
    </row>
    <row r="99" spans="1:60" x14ac:dyDescent="0.25">
      <c r="A99" t="s">
        <v>255</v>
      </c>
      <c r="B99" t="s">
        <v>256</v>
      </c>
      <c r="C99">
        <v>14</v>
      </c>
      <c r="D99" t="s">
        <v>230</v>
      </c>
      <c r="E99" cm="1">
        <f t="array" ref="E99">_xlfn.SWITCH(D99,"QPSK",0.1,"16QAM",0.25,"64QAM",0.5,"256QAM",0.8,"1024QAM",1,"")</f>
        <v>0.8</v>
      </c>
      <c r="F99" cm="1">
        <f t="array" ref="F99">_xlfn.SWITCH(D99,"QPSK",0.05,"16QAM",0.15,"64QAM",0.4,"256QAM",0.75,"1024QAM",1,"")</f>
        <v>0.75</v>
      </c>
      <c r="G99" t="s">
        <v>60</v>
      </c>
      <c r="H99">
        <v>4</v>
      </c>
      <c r="I99" t="s">
        <v>61</v>
      </c>
      <c r="J99">
        <v>2</v>
      </c>
      <c r="K99">
        <v>2</v>
      </c>
      <c r="L99" t="s">
        <v>62</v>
      </c>
      <c r="M99">
        <v>2</v>
      </c>
      <c r="N99">
        <v>0.47849999999999998</v>
      </c>
      <c r="O99">
        <v>0.48249999999999998</v>
      </c>
      <c r="P99">
        <v>5000</v>
      </c>
      <c r="Q99">
        <v>1890</v>
      </c>
      <c r="R99">
        <v>3110</v>
      </c>
      <c r="S99">
        <v>2.65</v>
      </c>
      <c r="T99">
        <v>1.65</v>
      </c>
      <c r="W99">
        <v>1877</v>
      </c>
      <c r="X99">
        <v>0</v>
      </c>
      <c r="Y99">
        <v>62.46</v>
      </c>
      <c r="Z99">
        <v>0.69</v>
      </c>
      <c r="AB99">
        <v>240840000</v>
      </c>
      <c r="AC99">
        <v>90411336</v>
      </c>
      <c r="AD99">
        <v>240840000</v>
      </c>
      <c r="AE99">
        <v>90411336</v>
      </c>
      <c r="AG99">
        <v>99.31</v>
      </c>
      <c r="AH99">
        <v>37.54</v>
      </c>
      <c r="AI99">
        <v>1</v>
      </c>
      <c r="AJ99">
        <v>2.6455030000000002</v>
      </c>
      <c r="AK99">
        <v>0.18110000000000001</v>
      </c>
      <c r="AL99">
        <v>18.079999999999998</v>
      </c>
      <c r="AM99">
        <v>18082</v>
      </c>
      <c r="AN99">
        <v>1.9319</v>
      </c>
      <c r="AO99">
        <v>30</v>
      </c>
      <c r="AP99">
        <v>21.87</v>
      </c>
      <c r="AQ99">
        <v>0.72</v>
      </c>
      <c r="AR99">
        <v>-5.94</v>
      </c>
      <c r="AS99">
        <v>1.96</v>
      </c>
      <c r="AT99">
        <v>22.78</v>
      </c>
      <c r="AU99">
        <v>6666.69</v>
      </c>
      <c r="AV99">
        <v>35.81</v>
      </c>
      <c r="AW99">
        <v>21.81</v>
      </c>
      <c r="AX99">
        <v>18.88</v>
      </c>
      <c r="AY99">
        <v>8.4453619999999994</v>
      </c>
      <c r="AZ99">
        <v>75.834801999999996</v>
      </c>
      <c r="BA99">
        <v>-21.53078</v>
      </c>
      <c r="BB99">
        <v>-3.0341499999999999</v>
      </c>
      <c r="BC99">
        <v>21.53078</v>
      </c>
      <c r="BD99">
        <v>15.250208000000001</v>
      </c>
      <c r="BE99">
        <v>156.444534</v>
      </c>
      <c r="BF99">
        <v>-16.512754000000001</v>
      </c>
      <c r="BG99">
        <v>3.664358</v>
      </c>
      <c r="BH99">
        <v>16.512754000000001</v>
      </c>
    </row>
    <row r="100" spans="1:60" x14ac:dyDescent="0.25">
      <c r="A100" t="s">
        <v>257</v>
      </c>
      <c r="B100" t="s">
        <v>258</v>
      </c>
      <c r="C100">
        <v>14</v>
      </c>
      <c r="D100" t="s">
        <v>230</v>
      </c>
      <c r="E100" cm="1">
        <f t="array" ref="E100">_xlfn.SWITCH(D100,"QPSK",0.1,"16QAM",0.25,"64QAM",0.5,"256QAM",0.8,"1024QAM",1,"")</f>
        <v>0.8</v>
      </c>
      <c r="F100" cm="1">
        <f t="array" ref="F100">_xlfn.SWITCH(D100,"QPSK",0.05,"16QAM",0.15,"64QAM",0.4,"256QAM",0.75,"1024QAM",1,"")</f>
        <v>0.75</v>
      </c>
      <c r="G100" t="s">
        <v>60</v>
      </c>
      <c r="H100">
        <v>8</v>
      </c>
      <c r="I100" t="s">
        <v>61</v>
      </c>
      <c r="J100">
        <v>2</v>
      </c>
      <c r="K100">
        <v>2</v>
      </c>
      <c r="L100" t="s">
        <v>62</v>
      </c>
      <c r="M100">
        <v>2</v>
      </c>
      <c r="N100">
        <v>0.47849999999999998</v>
      </c>
      <c r="O100">
        <v>0.48249999999999998</v>
      </c>
      <c r="P100">
        <v>5000</v>
      </c>
      <c r="Q100">
        <v>1866</v>
      </c>
      <c r="R100">
        <v>3134</v>
      </c>
      <c r="S100">
        <v>2.68</v>
      </c>
      <c r="T100">
        <v>1.68</v>
      </c>
      <c r="W100">
        <v>1863</v>
      </c>
      <c r="X100">
        <v>0</v>
      </c>
      <c r="Y100">
        <v>62.74</v>
      </c>
      <c r="Z100">
        <v>0.16</v>
      </c>
      <c r="AB100">
        <v>240840000</v>
      </c>
      <c r="AC100">
        <v>89736984</v>
      </c>
      <c r="AD100">
        <v>240840000</v>
      </c>
      <c r="AE100">
        <v>89736984</v>
      </c>
      <c r="AG100">
        <v>99.84</v>
      </c>
      <c r="AH100">
        <v>37.26</v>
      </c>
      <c r="AI100">
        <v>1</v>
      </c>
      <c r="AJ100">
        <v>2.6795279999999999</v>
      </c>
      <c r="AK100">
        <v>0.17979999999999999</v>
      </c>
      <c r="AL100">
        <v>17.95</v>
      </c>
      <c r="AM100">
        <v>17947</v>
      </c>
      <c r="AN100">
        <v>1.9175</v>
      </c>
      <c r="AO100">
        <v>30</v>
      </c>
      <c r="AP100">
        <v>21.87</v>
      </c>
      <c r="AQ100">
        <v>0.72</v>
      </c>
      <c r="AR100">
        <v>-5.94</v>
      </c>
      <c r="AS100">
        <v>1.96</v>
      </c>
      <c r="AT100">
        <v>22.62</v>
      </c>
      <c r="AU100">
        <v>6666.69</v>
      </c>
      <c r="AV100">
        <v>35.81</v>
      </c>
      <c r="AW100">
        <v>21.81</v>
      </c>
      <c r="AX100">
        <v>18.87</v>
      </c>
      <c r="AY100">
        <v>8.4471880000000006</v>
      </c>
      <c r="AZ100">
        <v>76.085279999999997</v>
      </c>
      <c r="BA100">
        <v>-21.529903999999998</v>
      </c>
      <c r="BB100">
        <v>-3.002488</v>
      </c>
      <c r="BC100">
        <v>21.529903999999998</v>
      </c>
      <c r="BD100">
        <v>15.2484</v>
      </c>
      <c r="BE100">
        <v>156.98319599999999</v>
      </c>
      <c r="BF100">
        <v>-16.511710000000001</v>
      </c>
      <c r="BG100">
        <v>3.6965159999999999</v>
      </c>
      <c r="BH100">
        <v>16.511710000000001</v>
      </c>
    </row>
    <row r="101" spans="1:60" x14ac:dyDescent="0.25">
      <c r="A101" t="s">
        <v>259</v>
      </c>
      <c r="B101" t="s">
        <v>260</v>
      </c>
      <c r="C101">
        <v>16</v>
      </c>
      <c r="D101" t="s">
        <v>230</v>
      </c>
      <c r="E101" cm="1">
        <f t="array" ref="E101">_xlfn.SWITCH(D101,"QPSK",0.1,"16QAM",0.25,"64QAM",0.5,"256QAM",0.8,"1024QAM",1,"")</f>
        <v>0.8</v>
      </c>
      <c r="F101" cm="1">
        <f t="array" ref="F101">_xlfn.SWITCH(D101,"QPSK",0.05,"16QAM",0.15,"64QAM",0.4,"256QAM",0.75,"1024QAM",1,"")</f>
        <v>0.75</v>
      </c>
      <c r="G101" t="s">
        <v>60</v>
      </c>
      <c r="H101">
        <v>1</v>
      </c>
      <c r="I101" t="s">
        <v>61</v>
      </c>
      <c r="J101">
        <v>2</v>
      </c>
      <c r="K101">
        <v>2</v>
      </c>
      <c r="L101" t="s">
        <v>62</v>
      </c>
      <c r="M101">
        <v>2</v>
      </c>
      <c r="N101">
        <v>0.47849999999999998</v>
      </c>
      <c r="O101">
        <v>0.48249999999999998</v>
      </c>
      <c r="P101">
        <v>5000</v>
      </c>
      <c r="Q101">
        <v>2164</v>
      </c>
      <c r="R101">
        <v>2836</v>
      </c>
      <c r="S101">
        <v>2.31</v>
      </c>
      <c r="T101">
        <v>1.31</v>
      </c>
      <c r="W101">
        <v>2164</v>
      </c>
      <c r="X101">
        <v>0</v>
      </c>
      <c r="Y101">
        <v>56.72</v>
      </c>
      <c r="Z101">
        <v>0</v>
      </c>
      <c r="AB101">
        <v>240840000</v>
      </c>
      <c r="AC101">
        <v>104235552</v>
      </c>
      <c r="AD101">
        <v>240840000</v>
      </c>
      <c r="AE101">
        <v>104235552</v>
      </c>
      <c r="AG101">
        <v>100</v>
      </c>
      <c r="AH101">
        <v>43.28</v>
      </c>
      <c r="AI101">
        <v>1</v>
      </c>
      <c r="AJ101">
        <v>2.3105359999999999</v>
      </c>
      <c r="AK101">
        <v>0.20880000000000001</v>
      </c>
      <c r="AL101">
        <v>20.85</v>
      </c>
      <c r="AM101">
        <v>20847</v>
      </c>
      <c r="AN101">
        <v>2.2273000000000001</v>
      </c>
      <c r="AO101">
        <v>30</v>
      </c>
      <c r="AP101">
        <v>21.87</v>
      </c>
      <c r="AQ101">
        <v>0.72</v>
      </c>
      <c r="AR101">
        <v>-5.95</v>
      </c>
      <c r="AS101">
        <v>1.95</v>
      </c>
      <c r="AT101">
        <v>23</v>
      </c>
      <c r="AU101">
        <v>6666.69</v>
      </c>
      <c r="AV101">
        <v>35.81</v>
      </c>
      <c r="AW101">
        <v>22.24</v>
      </c>
      <c r="AX101">
        <v>18.96</v>
      </c>
      <c r="AY101">
        <v>7.916652</v>
      </c>
      <c r="AZ101">
        <v>68.993086000000005</v>
      </c>
      <c r="BA101">
        <v>-22.088956</v>
      </c>
      <c r="BB101">
        <v>-3.846006</v>
      </c>
      <c r="BC101">
        <v>22.088956</v>
      </c>
      <c r="BD101">
        <v>14.005568</v>
      </c>
      <c r="BE101">
        <v>152.536768</v>
      </c>
      <c r="BF101">
        <v>-17.273036000000001</v>
      </c>
      <c r="BG101">
        <v>3.4022579999999998</v>
      </c>
      <c r="BH101">
        <v>17.273036000000001</v>
      </c>
    </row>
    <row r="102" spans="1:60" x14ac:dyDescent="0.25">
      <c r="A102" t="s">
        <v>261</v>
      </c>
      <c r="B102" t="s">
        <v>262</v>
      </c>
      <c r="C102">
        <v>16</v>
      </c>
      <c r="D102" t="s">
        <v>230</v>
      </c>
      <c r="E102" cm="1">
        <f t="array" ref="E102">_xlfn.SWITCH(D102,"QPSK",0.1,"16QAM",0.25,"64QAM",0.5,"256QAM",0.8,"1024QAM",1,"")</f>
        <v>0.8</v>
      </c>
      <c r="F102" cm="1">
        <f t="array" ref="F102">_xlfn.SWITCH(D102,"QPSK",0.05,"16QAM",0.15,"64QAM",0.4,"256QAM",0.75,"1024QAM",1,"")</f>
        <v>0.75</v>
      </c>
      <c r="G102" t="s">
        <v>60</v>
      </c>
      <c r="H102">
        <v>4</v>
      </c>
      <c r="I102" t="s">
        <v>61</v>
      </c>
      <c r="J102">
        <v>2</v>
      </c>
      <c r="K102">
        <v>2</v>
      </c>
      <c r="L102" t="s">
        <v>62</v>
      </c>
      <c r="M102">
        <v>2</v>
      </c>
      <c r="N102">
        <v>0.47849999999999998</v>
      </c>
      <c r="O102">
        <v>0.48249999999999998</v>
      </c>
      <c r="P102">
        <v>5000</v>
      </c>
      <c r="Q102">
        <v>2164</v>
      </c>
      <c r="R102">
        <v>2836</v>
      </c>
      <c r="S102">
        <v>2.31</v>
      </c>
      <c r="T102">
        <v>1.31</v>
      </c>
      <c r="W102">
        <v>2164</v>
      </c>
      <c r="X102">
        <v>0</v>
      </c>
      <c r="Y102">
        <v>56.72</v>
      </c>
      <c r="Z102">
        <v>0</v>
      </c>
      <c r="AB102">
        <v>240840000</v>
      </c>
      <c r="AC102">
        <v>104235552</v>
      </c>
      <c r="AD102">
        <v>240840000</v>
      </c>
      <c r="AE102">
        <v>104235552</v>
      </c>
      <c r="AG102">
        <v>100</v>
      </c>
      <c r="AH102">
        <v>43.28</v>
      </c>
      <c r="AI102">
        <v>1</v>
      </c>
      <c r="AJ102">
        <v>2.3105359999999999</v>
      </c>
      <c r="AK102">
        <v>0.20880000000000001</v>
      </c>
      <c r="AL102">
        <v>20.85</v>
      </c>
      <c r="AM102">
        <v>20847</v>
      </c>
      <c r="AN102">
        <v>2.2273000000000001</v>
      </c>
      <c r="AO102">
        <v>30</v>
      </c>
      <c r="AP102">
        <v>21.87</v>
      </c>
      <c r="AQ102">
        <v>0.72</v>
      </c>
      <c r="AR102">
        <v>-5.95</v>
      </c>
      <c r="AS102">
        <v>1.95</v>
      </c>
      <c r="AT102">
        <v>23.02</v>
      </c>
      <c r="AU102">
        <v>6666.69</v>
      </c>
      <c r="AV102">
        <v>35.81</v>
      </c>
      <c r="AW102">
        <v>22.24</v>
      </c>
      <c r="AX102">
        <v>18.97</v>
      </c>
      <c r="AY102">
        <v>7.920426</v>
      </c>
      <c r="AZ102">
        <v>69.338049999999996</v>
      </c>
      <c r="BA102">
        <v>-22.08475</v>
      </c>
      <c r="BB102">
        <v>-3.7947540000000002</v>
      </c>
      <c r="BC102">
        <v>22.08475</v>
      </c>
      <c r="BD102">
        <v>14.006600000000001</v>
      </c>
      <c r="BE102">
        <v>153.21271400000001</v>
      </c>
      <c r="BF102">
        <v>-17.273109999999999</v>
      </c>
      <c r="BG102">
        <v>3.4310079999999998</v>
      </c>
      <c r="BH102">
        <v>17.273109999999999</v>
      </c>
    </row>
    <row r="103" spans="1:60" x14ac:dyDescent="0.25">
      <c r="A103" t="s">
        <v>263</v>
      </c>
      <c r="B103" t="s">
        <v>264</v>
      </c>
      <c r="C103">
        <v>16</v>
      </c>
      <c r="D103" t="s">
        <v>230</v>
      </c>
      <c r="E103" cm="1">
        <f t="array" ref="E103">_xlfn.SWITCH(D103,"QPSK",0.1,"16QAM",0.25,"64QAM",0.5,"256QAM",0.8,"1024QAM",1,"")</f>
        <v>0.8</v>
      </c>
      <c r="F103" cm="1">
        <f t="array" ref="F103">_xlfn.SWITCH(D103,"QPSK",0.05,"16QAM",0.15,"64QAM",0.4,"256QAM",0.75,"1024QAM",1,"")</f>
        <v>0.75</v>
      </c>
      <c r="G103" t="s">
        <v>60</v>
      </c>
      <c r="H103">
        <v>8</v>
      </c>
      <c r="I103" t="s">
        <v>61</v>
      </c>
      <c r="J103">
        <v>2</v>
      </c>
      <c r="K103">
        <v>2</v>
      </c>
      <c r="L103" t="s">
        <v>62</v>
      </c>
      <c r="M103">
        <v>2</v>
      </c>
      <c r="N103">
        <v>0.47849999999999998</v>
      </c>
      <c r="O103">
        <v>0.48249999999999998</v>
      </c>
      <c r="P103">
        <v>5000</v>
      </c>
      <c r="Q103">
        <v>2132</v>
      </c>
      <c r="R103">
        <v>2868</v>
      </c>
      <c r="S103">
        <v>2.35</v>
      </c>
      <c r="T103">
        <v>1.35</v>
      </c>
      <c r="W103">
        <v>2126</v>
      </c>
      <c r="X103">
        <v>0</v>
      </c>
      <c r="Y103">
        <v>57.48</v>
      </c>
      <c r="Z103">
        <v>0.28000000000000003</v>
      </c>
      <c r="AB103">
        <v>240840000</v>
      </c>
      <c r="AC103">
        <v>102405168</v>
      </c>
      <c r="AD103">
        <v>240840000</v>
      </c>
      <c r="AE103">
        <v>102405168</v>
      </c>
      <c r="AG103">
        <v>99.72</v>
      </c>
      <c r="AH103">
        <v>42.52</v>
      </c>
      <c r="AI103">
        <v>1</v>
      </c>
      <c r="AJ103">
        <v>2.3452160000000002</v>
      </c>
      <c r="AK103">
        <v>0.2051</v>
      </c>
      <c r="AL103">
        <v>20.48</v>
      </c>
      <c r="AM103">
        <v>20481</v>
      </c>
      <c r="AN103">
        <v>2.1880999999999999</v>
      </c>
      <c r="AO103">
        <v>30</v>
      </c>
      <c r="AP103">
        <v>21.87</v>
      </c>
      <c r="AQ103">
        <v>0.72</v>
      </c>
      <c r="AR103">
        <v>-5.95</v>
      </c>
      <c r="AS103">
        <v>1.95</v>
      </c>
      <c r="AT103">
        <v>23.19</v>
      </c>
      <c r="AU103">
        <v>6666.69</v>
      </c>
      <c r="AV103">
        <v>35.81</v>
      </c>
      <c r="AW103">
        <v>22.25</v>
      </c>
      <c r="AX103">
        <v>18.95</v>
      </c>
      <c r="AY103">
        <v>7.9118219999999999</v>
      </c>
      <c r="AZ103">
        <v>68.826385999999999</v>
      </c>
      <c r="BA103">
        <v>-22.092918000000001</v>
      </c>
      <c r="BB103">
        <v>-3.8544800000000001</v>
      </c>
      <c r="BC103">
        <v>22.092918000000001</v>
      </c>
      <c r="BD103">
        <v>14.017168</v>
      </c>
      <c r="BE103">
        <v>153.29152199999999</v>
      </c>
      <c r="BF103">
        <v>-17.266010000000001</v>
      </c>
      <c r="BG103">
        <v>3.4375640000000001</v>
      </c>
      <c r="BH103">
        <v>17.266010000000001</v>
      </c>
    </row>
    <row r="104" spans="1:60" x14ac:dyDescent="0.25">
      <c r="A104" t="s">
        <v>265</v>
      </c>
      <c r="B104" t="s">
        <v>266</v>
      </c>
      <c r="C104">
        <v>18</v>
      </c>
      <c r="D104" t="s">
        <v>230</v>
      </c>
      <c r="E104" cm="1">
        <f t="array" ref="E104">_xlfn.SWITCH(D104,"QPSK",0.1,"16QAM",0.25,"64QAM",0.5,"256QAM",0.8,"1024QAM",1,"")</f>
        <v>0.8</v>
      </c>
      <c r="F104" cm="1">
        <f t="array" ref="F104">_xlfn.SWITCH(D104,"QPSK",0.05,"16QAM",0.15,"64QAM",0.4,"256QAM",0.75,"1024QAM",1,"")</f>
        <v>0.75</v>
      </c>
      <c r="G104" t="s">
        <v>60</v>
      </c>
      <c r="H104">
        <v>1</v>
      </c>
      <c r="I104" t="s">
        <v>61</v>
      </c>
      <c r="J104">
        <v>2</v>
      </c>
      <c r="K104">
        <v>2</v>
      </c>
      <c r="L104" t="s">
        <v>62</v>
      </c>
      <c r="M104">
        <v>2</v>
      </c>
      <c r="N104">
        <v>0.47849999999999998</v>
      </c>
      <c r="O104">
        <v>0.48249999999999998</v>
      </c>
      <c r="P104">
        <v>5000</v>
      </c>
      <c r="Q104">
        <v>2351</v>
      </c>
      <c r="R104">
        <v>2649</v>
      </c>
      <c r="S104">
        <v>2.13</v>
      </c>
      <c r="T104">
        <v>1.1299999999999999</v>
      </c>
      <c r="W104">
        <v>2350</v>
      </c>
      <c r="X104">
        <v>0</v>
      </c>
      <c r="Y104">
        <v>53</v>
      </c>
      <c r="Z104">
        <v>0.04</v>
      </c>
      <c r="AB104">
        <v>240840000</v>
      </c>
      <c r="AC104">
        <v>113194800</v>
      </c>
      <c r="AD104">
        <v>240840000</v>
      </c>
      <c r="AE104">
        <v>113194800</v>
      </c>
      <c r="AG104">
        <v>99.96</v>
      </c>
      <c r="AH104">
        <v>47</v>
      </c>
      <c r="AI104">
        <v>1</v>
      </c>
      <c r="AJ104">
        <v>2.1267550000000002</v>
      </c>
      <c r="AK104">
        <v>0.2268</v>
      </c>
      <c r="AL104">
        <v>22.64</v>
      </c>
      <c r="AM104">
        <v>22639</v>
      </c>
      <c r="AN104">
        <v>2.4186999999999999</v>
      </c>
      <c r="AO104">
        <v>30</v>
      </c>
      <c r="AP104">
        <v>21.87</v>
      </c>
      <c r="AQ104">
        <v>0.72</v>
      </c>
      <c r="AR104">
        <v>-5.96</v>
      </c>
      <c r="AS104">
        <v>1.95</v>
      </c>
      <c r="AT104">
        <v>23.49</v>
      </c>
      <c r="AU104">
        <v>6666.69</v>
      </c>
      <c r="AV104">
        <v>35.81</v>
      </c>
      <c r="AW104">
        <v>22.72</v>
      </c>
      <c r="AX104">
        <v>19.28</v>
      </c>
      <c r="AY104">
        <v>7.4291739999999997</v>
      </c>
      <c r="AZ104">
        <v>61.247480000000003</v>
      </c>
      <c r="BA104">
        <v>-22.635273999999999</v>
      </c>
      <c r="BB104">
        <v>-4.8985320000000003</v>
      </c>
      <c r="BC104">
        <v>22.635273999999999</v>
      </c>
      <c r="BD104">
        <v>12.751778</v>
      </c>
      <c r="BE104">
        <v>145.40955600000001</v>
      </c>
      <c r="BF104">
        <v>-18.118002000000001</v>
      </c>
      <c r="BG104">
        <v>2.907788</v>
      </c>
      <c r="BH104">
        <v>18.118002000000001</v>
      </c>
    </row>
    <row r="105" spans="1:60" x14ac:dyDescent="0.25">
      <c r="A105" t="s">
        <v>267</v>
      </c>
      <c r="B105" t="s">
        <v>268</v>
      </c>
      <c r="C105">
        <v>18</v>
      </c>
      <c r="D105" t="s">
        <v>230</v>
      </c>
      <c r="E105" cm="1">
        <f t="array" ref="E105">_xlfn.SWITCH(D105,"QPSK",0.1,"16QAM",0.25,"64QAM",0.5,"256QAM",0.8,"1024QAM",1,"")</f>
        <v>0.8</v>
      </c>
      <c r="F105" cm="1">
        <f t="array" ref="F105">_xlfn.SWITCH(D105,"QPSK",0.05,"16QAM",0.15,"64QAM",0.4,"256QAM",0.75,"1024QAM",1,"")</f>
        <v>0.75</v>
      </c>
      <c r="G105" t="s">
        <v>60</v>
      </c>
      <c r="H105">
        <v>4</v>
      </c>
      <c r="I105" t="s">
        <v>61</v>
      </c>
      <c r="J105">
        <v>2</v>
      </c>
      <c r="K105">
        <v>2</v>
      </c>
      <c r="L105" t="s">
        <v>62</v>
      </c>
      <c r="M105">
        <v>2</v>
      </c>
      <c r="N105">
        <v>0.47849999999999998</v>
      </c>
      <c r="O105">
        <v>0.48249999999999998</v>
      </c>
      <c r="P105">
        <v>5000</v>
      </c>
      <c r="Q105">
        <v>2340</v>
      </c>
      <c r="R105">
        <v>2660</v>
      </c>
      <c r="S105">
        <v>2.14</v>
      </c>
      <c r="T105">
        <v>1.1399999999999999</v>
      </c>
      <c r="W105">
        <v>2340</v>
      </c>
      <c r="X105">
        <v>0</v>
      </c>
      <c r="Y105">
        <v>53.2</v>
      </c>
      <c r="Z105">
        <v>0</v>
      </c>
      <c r="AB105">
        <v>240840000</v>
      </c>
      <c r="AC105">
        <v>112713120</v>
      </c>
      <c r="AD105">
        <v>240840000</v>
      </c>
      <c r="AE105">
        <v>112713120</v>
      </c>
      <c r="AG105">
        <v>100</v>
      </c>
      <c r="AH105">
        <v>46.8</v>
      </c>
      <c r="AI105">
        <v>1</v>
      </c>
      <c r="AJ105">
        <v>2.136752</v>
      </c>
      <c r="AK105">
        <v>0.2258</v>
      </c>
      <c r="AL105">
        <v>22.54</v>
      </c>
      <c r="AM105">
        <v>22543</v>
      </c>
      <c r="AN105">
        <v>2.4083999999999999</v>
      </c>
      <c r="AO105">
        <v>30</v>
      </c>
      <c r="AP105">
        <v>21.87</v>
      </c>
      <c r="AQ105">
        <v>0.72</v>
      </c>
      <c r="AR105">
        <v>-5.96</v>
      </c>
      <c r="AS105">
        <v>1.95</v>
      </c>
      <c r="AT105">
        <v>23.95</v>
      </c>
      <c r="AU105">
        <v>6666.69</v>
      </c>
      <c r="AV105">
        <v>35.81</v>
      </c>
      <c r="AW105">
        <v>22.71</v>
      </c>
      <c r="AX105">
        <v>19.28</v>
      </c>
      <c r="AY105">
        <v>7.4358659999999999</v>
      </c>
      <c r="AZ105">
        <v>61.402850000000001</v>
      </c>
      <c r="BA105">
        <v>-22.628195999999999</v>
      </c>
      <c r="BB105">
        <v>-4.8776539999999997</v>
      </c>
      <c r="BC105">
        <v>22.628195999999999</v>
      </c>
      <c r="BD105">
        <v>12.746554</v>
      </c>
      <c r="BE105">
        <v>145.62241599999999</v>
      </c>
      <c r="BF105">
        <v>-18.120784</v>
      </c>
      <c r="BG105">
        <v>2.9300160000000002</v>
      </c>
      <c r="BH105">
        <v>18.120784</v>
      </c>
    </row>
    <row r="106" spans="1:60" x14ac:dyDescent="0.25">
      <c r="A106" t="s">
        <v>269</v>
      </c>
      <c r="B106" t="s">
        <v>270</v>
      </c>
      <c r="C106">
        <v>18</v>
      </c>
      <c r="D106" t="s">
        <v>230</v>
      </c>
      <c r="E106" cm="1">
        <f t="array" ref="E106">_xlfn.SWITCH(D106,"QPSK",0.1,"16QAM",0.25,"64QAM",0.5,"256QAM",0.8,"1024QAM",1,"")</f>
        <v>0.8</v>
      </c>
      <c r="F106" cm="1">
        <f t="array" ref="F106">_xlfn.SWITCH(D106,"QPSK",0.05,"16QAM",0.15,"64QAM",0.4,"256QAM",0.75,"1024QAM",1,"")</f>
        <v>0.75</v>
      </c>
      <c r="G106" t="s">
        <v>60</v>
      </c>
      <c r="H106">
        <v>8</v>
      </c>
      <c r="I106" t="s">
        <v>61</v>
      </c>
      <c r="J106">
        <v>2</v>
      </c>
      <c r="K106">
        <v>2</v>
      </c>
      <c r="L106" t="s">
        <v>62</v>
      </c>
      <c r="M106">
        <v>2</v>
      </c>
      <c r="N106">
        <v>0.47849999999999998</v>
      </c>
      <c r="O106">
        <v>0.48249999999999998</v>
      </c>
      <c r="P106">
        <v>5000</v>
      </c>
      <c r="Q106">
        <v>2339</v>
      </c>
      <c r="R106">
        <v>2661</v>
      </c>
      <c r="S106">
        <v>2.14</v>
      </c>
      <c r="T106">
        <v>1.1399999999999999</v>
      </c>
      <c r="W106">
        <v>2335</v>
      </c>
      <c r="X106">
        <v>0</v>
      </c>
      <c r="Y106">
        <v>53.3</v>
      </c>
      <c r="Z106">
        <v>0.17</v>
      </c>
      <c r="AB106">
        <v>240840000</v>
      </c>
      <c r="AC106">
        <v>112472280</v>
      </c>
      <c r="AD106">
        <v>240840000</v>
      </c>
      <c r="AE106">
        <v>112472280</v>
      </c>
      <c r="AG106">
        <v>99.83</v>
      </c>
      <c r="AH106">
        <v>46.7</v>
      </c>
      <c r="AI106">
        <v>1</v>
      </c>
      <c r="AJ106">
        <v>2.1376659999999998</v>
      </c>
      <c r="AK106">
        <v>0.2253</v>
      </c>
      <c r="AL106">
        <v>22.49</v>
      </c>
      <c r="AM106">
        <v>22494</v>
      </c>
      <c r="AN106">
        <v>2.4033000000000002</v>
      </c>
      <c r="AO106">
        <v>30</v>
      </c>
      <c r="AP106">
        <v>21.87</v>
      </c>
      <c r="AQ106">
        <v>0.72</v>
      </c>
      <c r="AR106">
        <v>-5.96</v>
      </c>
      <c r="AS106">
        <v>1.95</v>
      </c>
      <c r="AT106">
        <v>23.85</v>
      </c>
      <c r="AU106">
        <v>6666.69</v>
      </c>
      <c r="AV106">
        <v>35.81</v>
      </c>
      <c r="AW106">
        <v>22.72</v>
      </c>
      <c r="AX106">
        <v>19.29</v>
      </c>
      <c r="AY106">
        <v>7.4276759999999999</v>
      </c>
      <c r="AZ106">
        <v>61.008859999999999</v>
      </c>
      <c r="BA106">
        <v>-22.636016000000001</v>
      </c>
      <c r="BB106">
        <v>-4.9108999999999998</v>
      </c>
      <c r="BC106">
        <v>22.636016000000001</v>
      </c>
      <c r="BD106">
        <v>12.746942000000001</v>
      </c>
      <c r="BE106">
        <v>146.02032</v>
      </c>
      <c r="BF106">
        <v>-18.122869999999999</v>
      </c>
      <c r="BG106">
        <v>2.9388019999999999</v>
      </c>
      <c r="BH106">
        <v>18.122869999999999</v>
      </c>
    </row>
    <row r="107" spans="1:60" x14ac:dyDescent="0.25">
      <c r="A107" t="s">
        <v>271</v>
      </c>
      <c r="B107" t="s">
        <v>272</v>
      </c>
      <c r="C107">
        <v>2</v>
      </c>
      <c r="D107" t="s">
        <v>230</v>
      </c>
      <c r="E107" cm="1">
        <f t="array" ref="E107">_xlfn.SWITCH(D107,"QPSK",0.1,"16QAM",0.25,"64QAM",0.5,"256QAM",0.8,"1024QAM",1,"")</f>
        <v>0.8</v>
      </c>
      <c r="F107" cm="1">
        <f t="array" ref="F107">_xlfn.SWITCH(D107,"QPSK",0.05,"16QAM",0.15,"64QAM",0.4,"256QAM",0.75,"1024QAM",1,"")</f>
        <v>0.75</v>
      </c>
      <c r="G107" t="s">
        <v>60</v>
      </c>
      <c r="H107">
        <v>1</v>
      </c>
      <c r="I107" t="s">
        <v>61</v>
      </c>
      <c r="J107">
        <v>2</v>
      </c>
      <c r="K107">
        <v>2</v>
      </c>
      <c r="L107" t="s">
        <v>62</v>
      </c>
      <c r="M107">
        <v>2</v>
      </c>
      <c r="N107">
        <v>0.47849999999999998</v>
      </c>
      <c r="O107">
        <v>0.48249999999999998</v>
      </c>
      <c r="P107">
        <v>5000</v>
      </c>
      <c r="Q107">
        <v>1250</v>
      </c>
      <c r="R107">
        <v>3750</v>
      </c>
      <c r="S107">
        <v>4</v>
      </c>
      <c r="T107">
        <v>3</v>
      </c>
      <c r="W107">
        <v>12</v>
      </c>
      <c r="X107">
        <v>0</v>
      </c>
      <c r="Y107">
        <v>99.76</v>
      </c>
      <c r="Z107">
        <v>99.04</v>
      </c>
      <c r="AB107">
        <v>240840000</v>
      </c>
      <c r="AC107">
        <v>578016</v>
      </c>
      <c r="AD107">
        <v>240840000</v>
      </c>
      <c r="AE107">
        <v>578016</v>
      </c>
      <c r="AG107">
        <v>0.96</v>
      </c>
      <c r="AH107">
        <v>0.24</v>
      </c>
      <c r="AI107">
        <v>1</v>
      </c>
      <c r="AJ107">
        <v>4</v>
      </c>
      <c r="AK107">
        <v>1.1999999999999999E-3</v>
      </c>
      <c r="AL107">
        <v>0.12</v>
      </c>
      <c r="AM107">
        <v>116</v>
      </c>
      <c r="AN107">
        <v>1.24E-2</v>
      </c>
      <c r="AO107">
        <v>30</v>
      </c>
      <c r="AP107">
        <v>21.87</v>
      </c>
      <c r="AQ107">
        <v>0.72</v>
      </c>
      <c r="AR107">
        <v>-5.83</v>
      </c>
      <c r="AS107">
        <v>1.89</v>
      </c>
      <c r="AT107">
        <v>13.07</v>
      </c>
      <c r="AU107">
        <v>6666.69</v>
      </c>
      <c r="AV107">
        <v>35.81</v>
      </c>
      <c r="AW107">
        <v>20.13</v>
      </c>
      <c r="AX107">
        <v>17.7</v>
      </c>
      <c r="AY107">
        <v>14.902112000000001</v>
      </c>
      <c r="AZ107">
        <v>125.13676599999999</v>
      </c>
      <c r="BA107">
        <v>-16.621468</v>
      </c>
      <c r="BB107">
        <v>1.785234</v>
      </c>
      <c r="BC107">
        <v>16.621468</v>
      </c>
      <c r="BD107">
        <v>23.575064000000001</v>
      </c>
      <c r="BE107">
        <v>221.95362399999999</v>
      </c>
      <c r="BF107">
        <v>-12.672102000000001</v>
      </c>
      <c r="BG107">
        <v>6.6573019999999996</v>
      </c>
      <c r="BH107">
        <v>12.672102000000001</v>
      </c>
    </row>
    <row r="108" spans="1:60" x14ac:dyDescent="0.25">
      <c r="A108" t="s">
        <v>273</v>
      </c>
      <c r="B108" t="s">
        <v>274</v>
      </c>
      <c r="C108">
        <v>2</v>
      </c>
      <c r="D108" t="s">
        <v>230</v>
      </c>
      <c r="E108" cm="1">
        <f t="array" ref="E108">_xlfn.SWITCH(D108,"QPSK",0.1,"16QAM",0.25,"64QAM",0.5,"256QAM",0.8,"1024QAM",1,"")</f>
        <v>0.8</v>
      </c>
      <c r="F108" cm="1">
        <f t="array" ref="F108">_xlfn.SWITCH(D108,"QPSK",0.05,"16QAM",0.15,"64QAM",0.4,"256QAM",0.75,"1024QAM",1,"")</f>
        <v>0.75</v>
      </c>
      <c r="G108" t="s">
        <v>60</v>
      </c>
      <c r="H108">
        <v>4</v>
      </c>
      <c r="I108" t="s">
        <v>61</v>
      </c>
      <c r="J108">
        <v>2</v>
      </c>
      <c r="K108">
        <v>2</v>
      </c>
      <c r="L108" t="s">
        <v>62</v>
      </c>
      <c r="M108">
        <v>2</v>
      </c>
      <c r="N108">
        <v>0.47849999999999998</v>
      </c>
      <c r="O108">
        <v>0.48249999999999998</v>
      </c>
      <c r="P108">
        <v>5000</v>
      </c>
      <c r="Q108">
        <v>1252</v>
      </c>
      <c r="R108">
        <v>3748</v>
      </c>
      <c r="S108">
        <v>3.99</v>
      </c>
      <c r="T108">
        <v>2.99</v>
      </c>
      <c r="W108">
        <v>12</v>
      </c>
      <c r="X108">
        <v>0</v>
      </c>
      <c r="Y108">
        <v>99.76</v>
      </c>
      <c r="Z108">
        <v>99.04</v>
      </c>
      <c r="AB108">
        <v>240840000</v>
      </c>
      <c r="AC108">
        <v>578016</v>
      </c>
      <c r="AD108">
        <v>240840000</v>
      </c>
      <c r="AE108">
        <v>578016</v>
      </c>
      <c r="AG108">
        <v>0.96</v>
      </c>
      <c r="AH108">
        <v>0.24</v>
      </c>
      <c r="AI108">
        <v>1</v>
      </c>
      <c r="AJ108">
        <v>3.9936099999999999</v>
      </c>
      <c r="AK108">
        <v>1.1999999999999999E-3</v>
      </c>
      <c r="AL108">
        <v>0.12</v>
      </c>
      <c r="AM108">
        <v>116</v>
      </c>
      <c r="AN108">
        <v>1.24E-2</v>
      </c>
      <c r="AO108">
        <v>30</v>
      </c>
      <c r="AP108">
        <v>21.87</v>
      </c>
      <c r="AQ108">
        <v>0.72</v>
      </c>
      <c r="AR108">
        <v>-5.83</v>
      </c>
      <c r="AS108">
        <v>1.89</v>
      </c>
      <c r="AT108">
        <v>12.92</v>
      </c>
      <c r="AU108">
        <v>6666.69</v>
      </c>
      <c r="AV108">
        <v>35.81</v>
      </c>
      <c r="AW108">
        <v>20.13</v>
      </c>
      <c r="AX108">
        <v>17.690000000000001</v>
      </c>
      <c r="AY108">
        <v>14.897318</v>
      </c>
      <c r="AZ108">
        <v>125.06650399999999</v>
      </c>
      <c r="BA108">
        <v>-16.623874000000001</v>
      </c>
      <c r="BB108">
        <v>1.77902</v>
      </c>
      <c r="BC108">
        <v>16.623874000000001</v>
      </c>
      <c r="BD108">
        <v>23.583231999999999</v>
      </c>
      <c r="BE108">
        <v>223.55649199999999</v>
      </c>
      <c r="BF108">
        <v>-12.669694</v>
      </c>
      <c r="BG108">
        <v>6.7122400000000004</v>
      </c>
      <c r="BH108">
        <v>12.669694</v>
      </c>
    </row>
    <row r="109" spans="1:60" x14ac:dyDescent="0.25">
      <c r="A109" t="s">
        <v>275</v>
      </c>
      <c r="B109" t="s">
        <v>276</v>
      </c>
      <c r="C109">
        <v>2</v>
      </c>
      <c r="D109" t="s">
        <v>230</v>
      </c>
      <c r="E109" cm="1">
        <f t="array" ref="E109">_xlfn.SWITCH(D109,"QPSK",0.1,"16QAM",0.25,"64QAM",0.5,"256QAM",0.8,"1024QAM",1,"")</f>
        <v>0.8</v>
      </c>
      <c r="F109" cm="1">
        <f t="array" ref="F109">_xlfn.SWITCH(D109,"QPSK",0.05,"16QAM",0.15,"64QAM",0.4,"256QAM",0.75,"1024QAM",1,"")</f>
        <v>0.75</v>
      </c>
      <c r="G109" t="s">
        <v>60</v>
      </c>
      <c r="H109">
        <v>8</v>
      </c>
      <c r="I109" t="s">
        <v>61</v>
      </c>
      <c r="J109">
        <v>2</v>
      </c>
      <c r="K109">
        <v>2</v>
      </c>
      <c r="L109" t="s">
        <v>62</v>
      </c>
      <c r="M109">
        <v>2</v>
      </c>
      <c r="N109">
        <v>0.47849999999999998</v>
      </c>
      <c r="O109">
        <v>0.48249999999999998</v>
      </c>
      <c r="P109">
        <v>5000</v>
      </c>
      <c r="Q109">
        <v>1256</v>
      </c>
      <c r="R109">
        <v>3744</v>
      </c>
      <c r="S109">
        <v>3.98</v>
      </c>
      <c r="T109">
        <v>2.98</v>
      </c>
      <c r="W109">
        <v>8</v>
      </c>
      <c r="X109">
        <v>0</v>
      </c>
      <c r="Y109">
        <v>99.84</v>
      </c>
      <c r="Z109">
        <v>99.36</v>
      </c>
      <c r="AB109">
        <v>240840000</v>
      </c>
      <c r="AC109">
        <v>385344</v>
      </c>
      <c r="AD109">
        <v>240840000</v>
      </c>
      <c r="AE109">
        <v>385344</v>
      </c>
      <c r="AG109">
        <v>0.64</v>
      </c>
      <c r="AH109">
        <v>0.16</v>
      </c>
      <c r="AI109">
        <v>1</v>
      </c>
      <c r="AJ109">
        <v>3.9808919999999999</v>
      </c>
      <c r="AK109">
        <v>8.0000000000000004E-4</v>
      </c>
      <c r="AL109">
        <v>0.08</v>
      </c>
      <c r="AM109">
        <v>77</v>
      </c>
      <c r="AN109">
        <v>8.2000000000000007E-3</v>
      </c>
      <c r="AO109">
        <v>30</v>
      </c>
      <c r="AP109">
        <v>21.87</v>
      </c>
      <c r="AQ109">
        <v>0.72</v>
      </c>
      <c r="AR109">
        <v>-5.83</v>
      </c>
      <c r="AS109">
        <v>1.89</v>
      </c>
      <c r="AT109">
        <v>12.89</v>
      </c>
      <c r="AU109">
        <v>6666.69</v>
      </c>
      <c r="AV109">
        <v>35.81</v>
      </c>
      <c r="AW109">
        <v>20.14</v>
      </c>
      <c r="AX109">
        <v>17.690000000000001</v>
      </c>
      <c r="AY109">
        <v>14.898298</v>
      </c>
      <c r="AZ109">
        <v>124.87117600000001</v>
      </c>
      <c r="BA109">
        <v>-16.623804</v>
      </c>
      <c r="BB109">
        <v>1.7668159999999999</v>
      </c>
      <c r="BC109">
        <v>16.623804</v>
      </c>
      <c r="BD109">
        <v>23.577663999999999</v>
      </c>
      <c r="BE109">
        <v>222.47640999999999</v>
      </c>
      <c r="BF109">
        <v>-12.671986</v>
      </c>
      <c r="BG109">
        <v>6.67232</v>
      </c>
      <c r="BH109">
        <v>12.671986</v>
      </c>
    </row>
    <row r="110" spans="1:60" x14ac:dyDescent="0.25">
      <c r="A110" t="s">
        <v>277</v>
      </c>
      <c r="B110" t="s">
        <v>278</v>
      </c>
      <c r="C110">
        <v>20</v>
      </c>
      <c r="D110" t="s">
        <v>230</v>
      </c>
      <c r="E110" cm="1">
        <f t="array" ref="E110">_xlfn.SWITCH(D110,"QPSK",0.1,"16QAM",0.25,"64QAM",0.5,"256QAM",0.8,"1024QAM",1,"")</f>
        <v>0.8</v>
      </c>
      <c r="F110" cm="1">
        <f t="array" ref="F110">_xlfn.SWITCH(D110,"QPSK",0.05,"16QAM",0.15,"64QAM",0.4,"256QAM",0.75,"1024QAM",1,"")</f>
        <v>0.75</v>
      </c>
      <c r="G110" t="s">
        <v>60</v>
      </c>
      <c r="H110">
        <v>1</v>
      </c>
      <c r="I110" t="s">
        <v>61</v>
      </c>
      <c r="J110">
        <v>2</v>
      </c>
      <c r="K110">
        <v>2</v>
      </c>
      <c r="L110" t="s">
        <v>62</v>
      </c>
      <c r="M110">
        <v>2</v>
      </c>
      <c r="N110">
        <v>0.47849999999999998</v>
      </c>
      <c r="O110">
        <v>0.48249999999999998</v>
      </c>
      <c r="P110">
        <v>5000</v>
      </c>
      <c r="Q110">
        <v>2624</v>
      </c>
      <c r="R110">
        <v>2376</v>
      </c>
      <c r="S110">
        <v>1.91</v>
      </c>
      <c r="T110">
        <v>0.91</v>
      </c>
      <c r="W110">
        <v>2624</v>
      </c>
      <c r="X110">
        <v>0</v>
      </c>
      <c r="Y110">
        <v>47.52</v>
      </c>
      <c r="Z110">
        <v>0</v>
      </c>
      <c r="AB110">
        <v>240840000</v>
      </c>
      <c r="AC110">
        <v>126392832</v>
      </c>
      <c r="AD110">
        <v>240840000</v>
      </c>
      <c r="AE110">
        <v>126392832</v>
      </c>
      <c r="AG110">
        <v>100</v>
      </c>
      <c r="AH110">
        <v>52.48</v>
      </c>
      <c r="AI110">
        <v>1</v>
      </c>
      <c r="AJ110">
        <v>1.9054880000000001</v>
      </c>
      <c r="AK110">
        <v>0.25319999999999998</v>
      </c>
      <c r="AL110">
        <v>25.28</v>
      </c>
      <c r="AM110">
        <v>25279</v>
      </c>
      <c r="AN110">
        <v>2.7006999999999999</v>
      </c>
      <c r="AO110">
        <v>30</v>
      </c>
      <c r="AP110">
        <v>21.87</v>
      </c>
      <c r="AQ110">
        <v>0.72</v>
      </c>
      <c r="AR110">
        <v>-5.97</v>
      </c>
      <c r="AS110">
        <v>1.95</v>
      </c>
      <c r="AT110">
        <v>25.62</v>
      </c>
      <c r="AU110">
        <v>6666.69</v>
      </c>
      <c r="AV110">
        <v>35.81</v>
      </c>
      <c r="AW110">
        <v>23.25</v>
      </c>
      <c r="AX110">
        <v>19.77</v>
      </c>
      <c r="AY110">
        <v>6.9580279999999997</v>
      </c>
      <c r="AZ110">
        <v>52.515048</v>
      </c>
      <c r="BA110">
        <v>-23.201091999999999</v>
      </c>
      <c r="BB110">
        <v>-6.2439660000000003</v>
      </c>
      <c r="BC110">
        <v>23.201091999999999</v>
      </c>
      <c r="BD110">
        <v>11.546908</v>
      </c>
      <c r="BE110">
        <v>135.99476200000001</v>
      </c>
      <c r="BF110">
        <v>-18.999960000000002</v>
      </c>
      <c r="BG110">
        <v>2.2266720000000002</v>
      </c>
      <c r="BH110">
        <v>18.999960000000002</v>
      </c>
    </row>
    <row r="111" spans="1:60" x14ac:dyDescent="0.25">
      <c r="A111" t="s">
        <v>279</v>
      </c>
      <c r="B111" t="s">
        <v>280</v>
      </c>
      <c r="C111">
        <v>20</v>
      </c>
      <c r="D111" t="s">
        <v>230</v>
      </c>
      <c r="E111" cm="1">
        <f t="array" ref="E111">_xlfn.SWITCH(D111,"QPSK",0.1,"16QAM",0.25,"64QAM",0.5,"256QAM",0.8,"1024QAM",1,"")</f>
        <v>0.8</v>
      </c>
      <c r="F111" cm="1">
        <f t="array" ref="F111">_xlfn.SWITCH(D111,"QPSK",0.05,"16QAM",0.15,"64QAM",0.4,"256QAM",0.75,"1024QAM",1,"")</f>
        <v>0.75</v>
      </c>
      <c r="G111" t="s">
        <v>60</v>
      </c>
      <c r="H111">
        <v>4</v>
      </c>
      <c r="I111" t="s">
        <v>61</v>
      </c>
      <c r="J111">
        <v>2</v>
      </c>
      <c r="K111">
        <v>2</v>
      </c>
      <c r="L111" t="s">
        <v>62</v>
      </c>
      <c r="M111">
        <v>2</v>
      </c>
      <c r="N111">
        <v>0.47849999999999998</v>
      </c>
      <c r="O111">
        <v>0.48249999999999998</v>
      </c>
      <c r="P111">
        <v>5000</v>
      </c>
      <c r="Q111">
        <v>2613</v>
      </c>
      <c r="R111">
        <v>2387</v>
      </c>
      <c r="S111">
        <v>1.91</v>
      </c>
      <c r="T111">
        <v>0.91</v>
      </c>
      <c r="W111">
        <v>2613</v>
      </c>
      <c r="X111">
        <v>0</v>
      </c>
      <c r="Y111">
        <v>47.74</v>
      </c>
      <c r="Z111">
        <v>0</v>
      </c>
      <c r="AB111">
        <v>240840000</v>
      </c>
      <c r="AC111">
        <v>125862984</v>
      </c>
      <c r="AD111">
        <v>240840000</v>
      </c>
      <c r="AE111">
        <v>125862984</v>
      </c>
      <c r="AG111">
        <v>100</v>
      </c>
      <c r="AH111">
        <v>52.26</v>
      </c>
      <c r="AI111">
        <v>1</v>
      </c>
      <c r="AJ111">
        <v>1.9135089999999999</v>
      </c>
      <c r="AK111">
        <v>0.25209999999999999</v>
      </c>
      <c r="AL111">
        <v>25.17</v>
      </c>
      <c r="AM111">
        <v>25173</v>
      </c>
      <c r="AN111">
        <v>2.6894</v>
      </c>
      <c r="AO111">
        <v>30</v>
      </c>
      <c r="AP111">
        <v>21.87</v>
      </c>
      <c r="AQ111">
        <v>0.72</v>
      </c>
      <c r="AR111">
        <v>-5.98</v>
      </c>
      <c r="AS111">
        <v>1.95</v>
      </c>
      <c r="AT111">
        <v>26</v>
      </c>
      <c r="AU111">
        <v>6666.69</v>
      </c>
      <c r="AV111">
        <v>35.81</v>
      </c>
      <c r="AW111">
        <v>23.25</v>
      </c>
      <c r="AX111">
        <v>19.77</v>
      </c>
      <c r="AY111">
        <v>6.9580159999999998</v>
      </c>
      <c r="AZ111">
        <v>52.631551999999999</v>
      </c>
      <c r="BA111">
        <v>-23.200915999999999</v>
      </c>
      <c r="BB111">
        <v>-6.2127600000000003</v>
      </c>
      <c r="BC111">
        <v>23.200915999999999</v>
      </c>
      <c r="BD111">
        <v>11.53792</v>
      </c>
      <c r="BE111">
        <v>135.057334</v>
      </c>
      <c r="BF111">
        <v>-19.003606000000001</v>
      </c>
      <c r="BG111">
        <v>2.1831900000000002</v>
      </c>
      <c r="BH111">
        <v>19.003606000000001</v>
      </c>
    </row>
    <row r="112" spans="1:60" x14ac:dyDescent="0.25">
      <c r="A112" t="s">
        <v>281</v>
      </c>
      <c r="B112" t="s">
        <v>282</v>
      </c>
      <c r="C112">
        <v>20</v>
      </c>
      <c r="D112" t="s">
        <v>230</v>
      </c>
      <c r="E112" cm="1">
        <f t="array" ref="E112">_xlfn.SWITCH(D112,"QPSK",0.1,"16QAM",0.25,"64QAM",0.5,"256QAM",0.8,"1024QAM",1,"")</f>
        <v>0.8</v>
      </c>
      <c r="F112" cm="1">
        <f t="array" ref="F112">_xlfn.SWITCH(D112,"QPSK",0.05,"16QAM",0.15,"64QAM",0.4,"256QAM",0.75,"1024QAM",1,"")</f>
        <v>0.75</v>
      </c>
      <c r="G112" t="s">
        <v>60</v>
      </c>
      <c r="H112">
        <v>8</v>
      </c>
      <c r="I112" t="s">
        <v>61</v>
      </c>
      <c r="J112">
        <v>2</v>
      </c>
      <c r="K112">
        <v>2</v>
      </c>
      <c r="L112" t="s">
        <v>62</v>
      </c>
      <c r="M112">
        <v>2</v>
      </c>
      <c r="N112">
        <v>0.47849999999999998</v>
      </c>
      <c r="O112">
        <v>0.48249999999999998</v>
      </c>
      <c r="P112">
        <v>5000</v>
      </c>
      <c r="Q112">
        <v>2597</v>
      </c>
      <c r="R112">
        <v>2403</v>
      </c>
      <c r="S112">
        <v>1.93</v>
      </c>
      <c r="T112">
        <v>0.93</v>
      </c>
      <c r="W112">
        <v>2597</v>
      </c>
      <c r="X112">
        <v>0</v>
      </c>
      <c r="Y112">
        <v>48.06</v>
      </c>
      <c r="Z112">
        <v>0</v>
      </c>
      <c r="AB112">
        <v>240840000</v>
      </c>
      <c r="AC112">
        <v>125092296</v>
      </c>
      <c r="AD112">
        <v>240840000</v>
      </c>
      <c r="AE112">
        <v>125092296</v>
      </c>
      <c r="AG112">
        <v>100</v>
      </c>
      <c r="AH112">
        <v>51.94</v>
      </c>
      <c r="AI112">
        <v>1</v>
      </c>
      <c r="AJ112">
        <v>1.925298</v>
      </c>
      <c r="AK112">
        <v>0.25059999999999999</v>
      </c>
      <c r="AL112">
        <v>25.02</v>
      </c>
      <c r="AM112">
        <v>25018</v>
      </c>
      <c r="AN112">
        <v>2.6728999999999998</v>
      </c>
      <c r="AO112">
        <v>30</v>
      </c>
      <c r="AP112">
        <v>21.87</v>
      </c>
      <c r="AQ112">
        <v>0.72</v>
      </c>
      <c r="AR112">
        <v>-5.98</v>
      </c>
      <c r="AS112">
        <v>1.95</v>
      </c>
      <c r="AT112">
        <v>25.64</v>
      </c>
      <c r="AU112">
        <v>6666.69</v>
      </c>
      <c r="AV112">
        <v>35.81</v>
      </c>
      <c r="AW112">
        <v>23.24</v>
      </c>
      <c r="AX112">
        <v>19.760000000000002</v>
      </c>
      <c r="AY112">
        <v>6.9617820000000004</v>
      </c>
      <c r="AZ112">
        <v>52.910407999999997</v>
      </c>
      <c r="BA112">
        <v>-23.197133999999998</v>
      </c>
      <c r="BB112">
        <v>-6.182588</v>
      </c>
      <c r="BC112">
        <v>23.197133999999998</v>
      </c>
      <c r="BD112">
        <v>11.548997999999999</v>
      </c>
      <c r="BE112">
        <v>136.17717200000001</v>
      </c>
      <c r="BF112">
        <v>-18.994319999999998</v>
      </c>
      <c r="BG112">
        <v>2.2427359999999998</v>
      </c>
      <c r="BH112">
        <v>18.994319999999998</v>
      </c>
    </row>
    <row r="113" spans="1:60" x14ac:dyDescent="0.25">
      <c r="A113" t="s">
        <v>283</v>
      </c>
      <c r="B113" t="s">
        <v>284</v>
      </c>
      <c r="C113">
        <v>22</v>
      </c>
      <c r="D113" t="s">
        <v>230</v>
      </c>
      <c r="E113" cm="1">
        <f t="array" ref="E113">_xlfn.SWITCH(D113,"QPSK",0.1,"16QAM",0.25,"64QAM",0.5,"256QAM",0.8,"1024QAM",1,"")</f>
        <v>0.8</v>
      </c>
      <c r="F113" cm="1">
        <f t="array" ref="F113">_xlfn.SWITCH(D113,"QPSK",0.05,"16QAM",0.15,"64QAM",0.4,"256QAM",0.75,"1024QAM",1,"")</f>
        <v>0.75</v>
      </c>
      <c r="G113" t="s">
        <v>60</v>
      </c>
      <c r="H113">
        <v>1</v>
      </c>
      <c r="I113" t="s">
        <v>61</v>
      </c>
      <c r="J113">
        <v>2</v>
      </c>
      <c r="K113">
        <v>2</v>
      </c>
      <c r="L113" t="s">
        <v>62</v>
      </c>
      <c r="M113">
        <v>2</v>
      </c>
      <c r="N113">
        <v>0.47849999999999998</v>
      </c>
      <c r="O113">
        <v>0.48249999999999998</v>
      </c>
      <c r="P113">
        <v>5000</v>
      </c>
      <c r="Q113">
        <v>3114</v>
      </c>
      <c r="R113">
        <v>1886</v>
      </c>
      <c r="S113">
        <v>1.61</v>
      </c>
      <c r="T113">
        <v>0.61</v>
      </c>
      <c r="W113">
        <v>3114</v>
      </c>
      <c r="X113">
        <v>0</v>
      </c>
      <c r="Y113">
        <v>37.72</v>
      </c>
      <c r="Z113">
        <v>0</v>
      </c>
      <c r="AB113">
        <v>240840000</v>
      </c>
      <c r="AC113">
        <v>149995152</v>
      </c>
      <c r="AD113">
        <v>240840000</v>
      </c>
      <c r="AE113">
        <v>149995152</v>
      </c>
      <c r="AG113">
        <v>100</v>
      </c>
      <c r="AH113">
        <v>62.28</v>
      </c>
      <c r="AI113">
        <v>1</v>
      </c>
      <c r="AJ113">
        <v>1.6056520000000001</v>
      </c>
      <c r="AK113">
        <v>0.30049999999999999</v>
      </c>
      <c r="AL113">
        <v>30</v>
      </c>
      <c r="AM113">
        <v>29999</v>
      </c>
      <c r="AN113">
        <v>3.2050000000000001</v>
      </c>
      <c r="AO113">
        <v>30</v>
      </c>
      <c r="AP113">
        <v>21.87</v>
      </c>
      <c r="AQ113">
        <v>0.72</v>
      </c>
      <c r="AR113">
        <v>-5.98</v>
      </c>
      <c r="AS113">
        <v>1.96</v>
      </c>
      <c r="AT113">
        <v>28.27</v>
      </c>
      <c r="AU113">
        <v>6666.69</v>
      </c>
      <c r="AV113">
        <v>35.81</v>
      </c>
      <c r="AW113">
        <v>23.83</v>
      </c>
      <c r="AX113">
        <v>20.3</v>
      </c>
      <c r="AY113">
        <v>6.4925420000000003</v>
      </c>
      <c r="AZ113">
        <v>45.399937999999999</v>
      </c>
      <c r="BA113">
        <v>-23.807364</v>
      </c>
      <c r="BB113">
        <v>-7.5024699999999998</v>
      </c>
      <c r="BC113">
        <v>23.807364</v>
      </c>
      <c r="BD113">
        <v>10.514570000000001</v>
      </c>
      <c r="BE113">
        <v>125.81819400000001</v>
      </c>
      <c r="BF113">
        <v>-19.80424</v>
      </c>
      <c r="BG113">
        <v>1.483196</v>
      </c>
      <c r="BH113">
        <v>19.80424</v>
      </c>
    </row>
    <row r="114" spans="1:60" x14ac:dyDescent="0.25">
      <c r="A114" t="s">
        <v>285</v>
      </c>
      <c r="B114" t="s">
        <v>286</v>
      </c>
      <c r="C114">
        <v>22</v>
      </c>
      <c r="D114" t="s">
        <v>230</v>
      </c>
      <c r="E114" cm="1">
        <f t="array" ref="E114">_xlfn.SWITCH(D114,"QPSK",0.1,"16QAM",0.25,"64QAM",0.5,"256QAM",0.8,"1024QAM",1,"")</f>
        <v>0.8</v>
      </c>
      <c r="F114" cm="1">
        <f t="array" ref="F114">_xlfn.SWITCH(D114,"QPSK",0.05,"16QAM",0.15,"64QAM",0.4,"256QAM",0.75,"1024QAM",1,"")</f>
        <v>0.75</v>
      </c>
      <c r="G114" t="s">
        <v>60</v>
      </c>
      <c r="H114">
        <v>4</v>
      </c>
      <c r="I114" t="s">
        <v>61</v>
      </c>
      <c r="J114">
        <v>2</v>
      </c>
      <c r="K114">
        <v>2</v>
      </c>
      <c r="L114" t="s">
        <v>62</v>
      </c>
      <c r="M114">
        <v>2</v>
      </c>
      <c r="N114">
        <v>0.47849999999999998</v>
      </c>
      <c r="O114">
        <v>0.48249999999999998</v>
      </c>
      <c r="P114">
        <v>5000</v>
      </c>
      <c r="Q114">
        <v>3090</v>
      </c>
      <c r="R114">
        <v>1910</v>
      </c>
      <c r="S114">
        <v>1.62</v>
      </c>
      <c r="T114">
        <v>0.62</v>
      </c>
      <c r="W114">
        <v>3088</v>
      </c>
      <c r="X114">
        <v>0</v>
      </c>
      <c r="Y114">
        <v>38.24</v>
      </c>
      <c r="Z114">
        <v>0.06</v>
      </c>
      <c r="AB114">
        <v>240840000</v>
      </c>
      <c r="AC114">
        <v>148742784</v>
      </c>
      <c r="AD114">
        <v>240840000</v>
      </c>
      <c r="AE114">
        <v>148742784</v>
      </c>
      <c r="AG114">
        <v>99.94</v>
      </c>
      <c r="AH114">
        <v>61.76</v>
      </c>
      <c r="AI114">
        <v>1</v>
      </c>
      <c r="AJ114">
        <v>1.618123</v>
      </c>
      <c r="AK114">
        <v>0.29799999999999999</v>
      </c>
      <c r="AL114">
        <v>29.75</v>
      </c>
      <c r="AM114">
        <v>29749</v>
      </c>
      <c r="AN114">
        <v>3.1783000000000001</v>
      </c>
      <c r="AO114">
        <v>30</v>
      </c>
      <c r="AP114">
        <v>21.87</v>
      </c>
      <c r="AQ114">
        <v>0.72</v>
      </c>
      <c r="AR114">
        <v>-5.98</v>
      </c>
      <c r="AS114">
        <v>1.96</v>
      </c>
      <c r="AT114">
        <v>28.74</v>
      </c>
      <c r="AU114">
        <v>6666.69</v>
      </c>
      <c r="AV114">
        <v>35.81</v>
      </c>
      <c r="AW114">
        <v>23.83</v>
      </c>
      <c r="AX114">
        <v>20.29</v>
      </c>
      <c r="AY114">
        <v>6.4959020000000001</v>
      </c>
      <c r="AZ114">
        <v>45.829234</v>
      </c>
      <c r="BA114">
        <v>-23.803504</v>
      </c>
      <c r="BB114">
        <v>-7.4581039999999996</v>
      </c>
      <c r="BC114">
        <v>23.803504</v>
      </c>
      <c r="BD114">
        <v>10.513868</v>
      </c>
      <c r="BE114">
        <v>125.96400199999999</v>
      </c>
      <c r="BF114">
        <v>-19.799972</v>
      </c>
      <c r="BG114">
        <v>1.4986759999999999</v>
      </c>
      <c r="BH114">
        <v>19.799972</v>
      </c>
    </row>
    <row r="115" spans="1:60" x14ac:dyDescent="0.25">
      <c r="A115" t="s">
        <v>287</v>
      </c>
      <c r="B115" t="s">
        <v>288</v>
      </c>
      <c r="C115">
        <v>22</v>
      </c>
      <c r="D115" t="s">
        <v>230</v>
      </c>
      <c r="E115" cm="1">
        <f t="array" ref="E115">_xlfn.SWITCH(D115,"QPSK",0.1,"16QAM",0.25,"64QAM",0.5,"256QAM",0.8,"1024QAM",1,"")</f>
        <v>0.8</v>
      </c>
      <c r="F115" cm="1">
        <f t="array" ref="F115">_xlfn.SWITCH(D115,"QPSK",0.05,"16QAM",0.15,"64QAM",0.4,"256QAM",0.75,"1024QAM",1,"")</f>
        <v>0.75</v>
      </c>
      <c r="G115" t="s">
        <v>60</v>
      </c>
      <c r="H115">
        <v>8</v>
      </c>
      <c r="I115" t="s">
        <v>61</v>
      </c>
      <c r="J115">
        <v>2</v>
      </c>
      <c r="K115">
        <v>2</v>
      </c>
      <c r="L115" t="s">
        <v>62</v>
      </c>
      <c r="M115">
        <v>2</v>
      </c>
      <c r="N115">
        <v>0.47849999999999998</v>
      </c>
      <c r="O115">
        <v>0.48249999999999998</v>
      </c>
      <c r="P115">
        <v>5000</v>
      </c>
      <c r="Q115">
        <v>3053</v>
      </c>
      <c r="R115">
        <v>1947</v>
      </c>
      <c r="S115">
        <v>1.64</v>
      </c>
      <c r="T115">
        <v>0.64</v>
      </c>
      <c r="W115">
        <v>3051</v>
      </c>
      <c r="X115">
        <v>0</v>
      </c>
      <c r="Y115">
        <v>38.979999999999997</v>
      </c>
      <c r="Z115">
        <v>7.0000000000000007E-2</v>
      </c>
      <c r="AB115">
        <v>240840000</v>
      </c>
      <c r="AC115">
        <v>146960568</v>
      </c>
      <c r="AD115">
        <v>240840000</v>
      </c>
      <c r="AE115">
        <v>146960568</v>
      </c>
      <c r="AG115">
        <v>99.93</v>
      </c>
      <c r="AH115">
        <v>61.02</v>
      </c>
      <c r="AI115">
        <v>1</v>
      </c>
      <c r="AJ115">
        <v>1.6377330000000001</v>
      </c>
      <c r="AK115">
        <v>0.2944</v>
      </c>
      <c r="AL115">
        <v>29.39</v>
      </c>
      <c r="AM115">
        <v>29392</v>
      </c>
      <c r="AN115">
        <v>3.1402000000000001</v>
      </c>
      <c r="AO115">
        <v>30</v>
      </c>
      <c r="AP115">
        <v>21.87</v>
      </c>
      <c r="AQ115">
        <v>0.72</v>
      </c>
      <c r="AR115">
        <v>-5.98</v>
      </c>
      <c r="AS115">
        <v>1.96</v>
      </c>
      <c r="AT115">
        <v>29.01</v>
      </c>
      <c r="AU115">
        <v>6666.69</v>
      </c>
      <c r="AV115">
        <v>35.81</v>
      </c>
      <c r="AW115">
        <v>23.83</v>
      </c>
      <c r="AX115">
        <v>20.29</v>
      </c>
      <c r="AY115">
        <v>6.4958359999999997</v>
      </c>
      <c r="AZ115">
        <v>45.878079999999997</v>
      </c>
      <c r="BA115">
        <v>-23.803574000000001</v>
      </c>
      <c r="BB115">
        <v>-7.4367679999999998</v>
      </c>
      <c r="BC115">
        <v>23.803574000000001</v>
      </c>
      <c r="BD115">
        <v>10.52317</v>
      </c>
      <c r="BE115">
        <v>126.653246</v>
      </c>
      <c r="BF115">
        <v>-19.794180000000001</v>
      </c>
      <c r="BG115">
        <v>1.5355019999999999</v>
      </c>
      <c r="BH115">
        <v>19.794180000000001</v>
      </c>
    </row>
    <row r="116" spans="1:60" x14ac:dyDescent="0.25">
      <c r="A116" t="s">
        <v>289</v>
      </c>
      <c r="B116" t="s">
        <v>290</v>
      </c>
      <c r="C116">
        <v>24</v>
      </c>
      <c r="D116" t="s">
        <v>230</v>
      </c>
      <c r="E116" cm="1">
        <f t="array" ref="E116">_xlfn.SWITCH(D116,"QPSK",0.1,"16QAM",0.25,"64QAM",0.5,"256QAM",0.8,"1024QAM",1,"")</f>
        <v>0.8</v>
      </c>
      <c r="F116" cm="1">
        <f t="array" ref="F116">_xlfn.SWITCH(D116,"QPSK",0.05,"16QAM",0.15,"64QAM",0.4,"256QAM",0.75,"1024QAM",1,"")</f>
        <v>0.75</v>
      </c>
      <c r="G116" t="s">
        <v>60</v>
      </c>
      <c r="H116">
        <v>1</v>
      </c>
      <c r="I116" t="s">
        <v>61</v>
      </c>
      <c r="J116">
        <v>2</v>
      </c>
      <c r="K116">
        <v>2</v>
      </c>
      <c r="L116" t="s">
        <v>62</v>
      </c>
      <c r="M116">
        <v>2</v>
      </c>
      <c r="N116">
        <v>0.47849999999999998</v>
      </c>
      <c r="O116">
        <v>0.48249999999999998</v>
      </c>
      <c r="P116">
        <v>5000</v>
      </c>
      <c r="Q116">
        <v>3689</v>
      </c>
      <c r="R116">
        <v>1311</v>
      </c>
      <c r="S116">
        <v>1.36</v>
      </c>
      <c r="T116">
        <v>0.36</v>
      </c>
      <c r="W116">
        <v>3689</v>
      </c>
      <c r="X116">
        <v>0</v>
      </c>
      <c r="Y116">
        <v>26.22</v>
      </c>
      <c r="Z116">
        <v>0</v>
      </c>
      <c r="AB116">
        <v>240840000</v>
      </c>
      <c r="AC116">
        <v>177691752</v>
      </c>
      <c r="AD116">
        <v>240840000</v>
      </c>
      <c r="AE116">
        <v>177691752</v>
      </c>
      <c r="AG116">
        <v>100</v>
      </c>
      <c r="AH116">
        <v>73.78</v>
      </c>
      <c r="AI116">
        <v>1</v>
      </c>
      <c r="AJ116">
        <v>1.3553809999999999</v>
      </c>
      <c r="AK116">
        <v>0.35599999999999998</v>
      </c>
      <c r="AL116">
        <v>35.54</v>
      </c>
      <c r="AM116">
        <v>35538</v>
      </c>
      <c r="AN116">
        <v>3.7968000000000002</v>
      </c>
      <c r="AO116">
        <v>30</v>
      </c>
      <c r="AP116">
        <v>21.87</v>
      </c>
      <c r="AQ116">
        <v>0.72</v>
      </c>
      <c r="AR116">
        <v>-5.99</v>
      </c>
      <c r="AS116">
        <v>1.96</v>
      </c>
      <c r="AT116">
        <v>32.520000000000003</v>
      </c>
      <c r="AU116">
        <v>6666.69</v>
      </c>
      <c r="AV116">
        <v>35.81</v>
      </c>
      <c r="AW116">
        <v>24.51</v>
      </c>
      <c r="AX116">
        <v>20.82</v>
      </c>
      <c r="AY116">
        <v>6.0147880000000002</v>
      </c>
      <c r="AZ116">
        <v>40.39978</v>
      </c>
      <c r="BA116">
        <v>-24.489235999999998</v>
      </c>
      <c r="BB116">
        <v>-8.5845179999999992</v>
      </c>
      <c r="BC116">
        <v>24.489235999999998</v>
      </c>
      <c r="BD116">
        <v>9.6504359999999991</v>
      </c>
      <c r="BE116">
        <v>117.857868</v>
      </c>
      <c r="BF116">
        <v>-20.515415999999998</v>
      </c>
      <c r="BG116">
        <v>0.83013800000000004</v>
      </c>
      <c r="BH116">
        <v>20.515415999999998</v>
      </c>
    </row>
    <row r="117" spans="1:60" x14ac:dyDescent="0.25">
      <c r="A117" t="s">
        <v>291</v>
      </c>
      <c r="B117" t="s">
        <v>292</v>
      </c>
      <c r="C117">
        <v>24</v>
      </c>
      <c r="D117" t="s">
        <v>230</v>
      </c>
      <c r="E117" cm="1">
        <f t="array" ref="E117">_xlfn.SWITCH(D117,"QPSK",0.1,"16QAM",0.25,"64QAM",0.5,"256QAM",0.8,"1024QAM",1,"")</f>
        <v>0.8</v>
      </c>
      <c r="F117" cm="1">
        <f t="array" ref="F117">_xlfn.SWITCH(D117,"QPSK",0.05,"16QAM",0.15,"64QAM",0.4,"256QAM",0.75,"1024QAM",1,"")</f>
        <v>0.75</v>
      </c>
      <c r="G117" t="s">
        <v>60</v>
      </c>
      <c r="H117">
        <v>4</v>
      </c>
      <c r="I117" t="s">
        <v>61</v>
      </c>
      <c r="J117">
        <v>2</v>
      </c>
      <c r="K117">
        <v>2</v>
      </c>
      <c r="L117" t="s">
        <v>62</v>
      </c>
      <c r="M117">
        <v>2</v>
      </c>
      <c r="N117">
        <v>0.47849999999999998</v>
      </c>
      <c r="O117">
        <v>0.48249999999999998</v>
      </c>
      <c r="P117">
        <v>5000</v>
      </c>
      <c r="Q117">
        <v>3653</v>
      </c>
      <c r="R117">
        <v>1347</v>
      </c>
      <c r="S117">
        <v>1.37</v>
      </c>
      <c r="T117">
        <v>0.37</v>
      </c>
      <c r="W117">
        <v>3653</v>
      </c>
      <c r="X117">
        <v>0</v>
      </c>
      <c r="Y117">
        <v>26.94</v>
      </c>
      <c r="Z117">
        <v>0</v>
      </c>
      <c r="AB117">
        <v>240840000</v>
      </c>
      <c r="AC117">
        <v>175957704</v>
      </c>
      <c r="AD117">
        <v>240840000</v>
      </c>
      <c r="AE117">
        <v>175957704</v>
      </c>
      <c r="AG117">
        <v>100</v>
      </c>
      <c r="AH117">
        <v>73.06</v>
      </c>
      <c r="AI117">
        <v>1</v>
      </c>
      <c r="AJ117">
        <v>1.368738</v>
      </c>
      <c r="AK117">
        <v>0.35249999999999998</v>
      </c>
      <c r="AL117">
        <v>35.19</v>
      </c>
      <c r="AM117">
        <v>35192</v>
      </c>
      <c r="AN117">
        <v>3.7597999999999998</v>
      </c>
      <c r="AO117">
        <v>30</v>
      </c>
      <c r="AP117">
        <v>21.87</v>
      </c>
      <c r="AQ117">
        <v>0.72</v>
      </c>
      <c r="AR117">
        <v>-5.99</v>
      </c>
      <c r="AS117">
        <v>1.96</v>
      </c>
      <c r="AT117">
        <v>32.49</v>
      </c>
      <c r="AU117">
        <v>6666.69</v>
      </c>
      <c r="AV117">
        <v>35.81</v>
      </c>
      <c r="AW117">
        <v>24.51</v>
      </c>
      <c r="AX117">
        <v>20.83</v>
      </c>
      <c r="AY117">
        <v>6.0095559999999999</v>
      </c>
      <c r="AZ117">
        <v>40.347566</v>
      </c>
      <c r="BA117">
        <v>-24.49614</v>
      </c>
      <c r="BB117">
        <v>-8.5933379999999993</v>
      </c>
      <c r="BC117">
        <v>24.49614</v>
      </c>
      <c r="BD117">
        <v>9.6390840000000004</v>
      </c>
      <c r="BE117">
        <v>117.294988</v>
      </c>
      <c r="BF117">
        <v>-20.52467</v>
      </c>
      <c r="BG117">
        <v>0.79035200000000005</v>
      </c>
      <c r="BH117">
        <v>20.52467</v>
      </c>
    </row>
    <row r="118" spans="1:60" x14ac:dyDescent="0.25">
      <c r="A118" t="s">
        <v>293</v>
      </c>
      <c r="B118" t="s">
        <v>294</v>
      </c>
      <c r="C118">
        <v>24</v>
      </c>
      <c r="D118" t="s">
        <v>230</v>
      </c>
      <c r="E118" cm="1">
        <f t="array" ref="E118">_xlfn.SWITCH(D118,"QPSK",0.1,"16QAM",0.25,"64QAM",0.5,"256QAM",0.8,"1024QAM",1,"")</f>
        <v>0.8</v>
      </c>
      <c r="F118" cm="1">
        <f t="array" ref="F118">_xlfn.SWITCH(D118,"QPSK",0.05,"16QAM",0.15,"64QAM",0.4,"256QAM",0.75,"1024QAM",1,"")</f>
        <v>0.75</v>
      </c>
      <c r="G118" t="s">
        <v>60</v>
      </c>
      <c r="H118">
        <v>8</v>
      </c>
      <c r="I118" t="s">
        <v>61</v>
      </c>
      <c r="J118">
        <v>2</v>
      </c>
      <c r="K118">
        <v>2</v>
      </c>
      <c r="L118" t="s">
        <v>62</v>
      </c>
      <c r="M118">
        <v>2</v>
      </c>
      <c r="N118">
        <v>0.47849999999999998</v>
      </c>
      <c r="O118">
        <v>0.48249999999999998</v>
      </c>
      <c r="P118">
        <v>5000</v>
      </c>
      <c r="Q118">
        <v>3609</v>
      </c>
      <c r="R118">
        <v>1391</v>
      </c>
      <c r="S118">
        <v>1.39</v>
      </c>
      <c r="T118">
        <v>0.39</v>
      </c>
      <c r="W118">
        <v>3609</v>
      </c>
      <c r="X118">
        <v>0</v>
      </c>
      <c r="Y118">
        <v>27.82</v>
      </c>
      <c r="Z118">
        <v>0</v>
      </c>
      <c r="AB118">
        <v>240840000</v>
      </c>
      <c r="AC118">
        <v>173838312</v>
      </c>
      <c r="AD118">
        <v>240840000</v>
      </c>
      <c r="AE118">
        <v>173838312</v>
      </c>
      <c r="AG118">
        <v>100</v>
      </c>
      <c r="AH118">
        <v>72.180000000000007</v>
      </c>
      <c r="AI118">
        <v>1</v>
      </c>
      <c r="AJ118">
        <v>1.3854249999999999</v>
      </c>
      <c r="AK118">
        <v>0.34820000000000001</v>
      </c>
      <c r="AL118">
        <v>34.770000000000003</v>
      </c>
      <c r="AM118">
        <v>34768</v>
      </c>
      <c r="AN118">
        <v>3.7145000000000001</v>
      </c>
      <c r="AO118">
        <v>30</v>
      </c>
      <c r="AP118">
        <v>21.87</v>
      </c>
      <c r="AQ118">
        <v>0.72</v>
      </c>
      <c r="AR118">
        <v>-5.99</v>
      </c>
      <c r="AS118">
        <v>1.96</v>
      </c>
      <c r="AT118">
        <v>32.15</v>
      </c>
      <c r="AU118">
        <v>6666.69</v>
      </c>
      <c r="AV118">
        <v>35.81</v>
      </c>
      <c r="AW118">
        <v>24.51</v>
      </c>
      <c r="AX118">
        <v>20.83</v>
      </c>
      <c r="AY118">
        <v>6.0132240000000001</v>
      </c>
      <c r="AZ118">
        <v>40.467204000000002</v>
      </c>
      <c r="BA118">
        <v>-24.491142</v>
      </c>
      <c r="BB118">
        <v>-8.5992660000000001</v>
      </c>
      <c r="BC118">
        <v>24.491142</v>
      </c>
      <c r="BD118">
        <v>9.6335859999999993</v>
      </c>
      <c r="BE118">
        <v>117.32214</v>
      </c>
      <c r="BF118">
        <v>-20.530272</v>
      </c>
      <c r="BG118">
        <v>0.78916600000000003</v>
      </c>
      <c r="BH118">
        <v>20.530272</v>
      </c>
    </row>
    <row r="119" spans="1:60" x14ac:dyDescent="0.25">
      <c r="A119" t="s">
        <v>295</v>
      </c>
      <c r="B119" t="s">
        <v>151</v>
      </c>
      <c r="C119">
        <v>4</v>
      </c>
      <c r="D119" t="s">
        <v>230</v>
      </c>
      <c r="E119" cm="1">
        <f t="array" ref="E119">_xlfn.SWITCH(D119,"QPSK",0.1,"16QAM",0.25,"64QAM",0.5,"256QAM",0.8,"1024QAM",1,"")</f>
        <v>0.8</v>
      </c>
      <c r="F119" cm="1">
        <f t="array" ref="F119">_xlfn.SWITCH(D119,"QPSK",0.05,"16QAM",0.15,"64QAM",0.4,"256QAM",0.75,"1024QAM",1,"")</f>
        <v>0.75</v>
      </c>
      <c r="G119" t="s">
        <v>60</v>
      </c>
      <c r="H119">
        <v>1</v>
      </c>
      <c r="I119" t="s">
        <v>61</v>
      </c>
      <c r="J119">
        <v>2</v>
      </c>
      <c r="K119">
        <v>2</v>
      </c>
      <c r="L119" t="s">
        <v>62</v>
      </c>
      <c r="M119">
        <v>2</v>
      </c>
      <c r="N119">
        <v>0.47849999999999998</v>
      </c>
      <c r="O119">
        <v>0.48249999999999998</v>
      </c>
      <c r="P119">
        <v>5000</v>
      </c>
      <c r="Q119">
        <v>1253</v>
      </c>
      <c r="R119">
        <v>3747</v>
      </c>
      <c r="S119">
        <v>3.99</v>
      </c>
      <c r="T119">
        <v>2.99</v>
      </c>
      <c r="W119">
        <v>81</v>
      </c>
      <c r="X119">
        <v>0</v>
      </c>
      <c r="Y119">
        <v>98.38</v>
      </c>
      <c r="Z119">
        <v>93.54</v>
      </c>
      <c r="AB119">
        <v>240840000</v>
      </c>
      <c r="AC119">
        <v>3901608</v>
      </c>
      <c r="AD119">
        <v>240840000</v>
      </c>
      <c r="AE119">
        <v>3901608</v>
      </c>
      <c r="AG119">
        <v>6.46</v>
      </c>
      <c r="AH119">
        <v>1.62</v>
      </c>
      <c r="AI119">
        <v>1</v>
      </c>
      <c r="AJ119">
        <v>3.9904229999999998</v>
      </c>
      <c r="AK119">
        <v>7.7999999999999996E-3</v>
      </c>
      <c r="AL119">
        <v>0.78</v>
      </c>
      <c r="AM119">
        <v>780</v>
      </c>
      <c r="AN119">
        <v>8.3400000000000002E-2</v>
      </c>
      <c r="AO119">
        <v>30</v>
      </c>
      <c r="AP119">
        <v>21.87</v>
      </c>
      <c r="AQ119">
        <v>0.72</v>
      </c>
      <c r="AR119">
        <v>-5.89</v>
      </c>
      <c r="AS119">
        <v>1.92</v>
      </c>
      <c r="AT119">
        <v>15.79</v>
      </c>
      <c r="AU119">
        <v>6666.69</v>
      </c>
      <c r="AV119">
        <v>35.81</v>
      </c>
      <c r="AW119">
        <v>20.34</v>
      </c>
      <c r="AX119">
        <v>18.440000000000001</v>
      </c>
      <c r="AY119">
        <v>13.177602</v>
      </c>
      <c r="AZ119">
        <v>108.547972</v>
      </c>
      <c r="BA119">
        <v>-17.702942</v>
      </c>
      <c r="BB119">
        <v>0.52827599999999997</v>
      </c>
      <c r="BC119">
        <v>17.702942</v>
      </c>
      <c r="BD119">
        <v>22.187994</v>
      </c>
      <c r="BE119">
        <v>203.09306799999999</v>
      </c>
      <c r="BF119">
        <v>-13.235374</v>
      </c>
      <c r="BG119">
        <v>5.8487039999999997</v>
      </c>
      <c r="BH119">
        <v>13.235374</v>
      </c>
    </row>
    <row r="120" spans="1:60" x14ac:dyDescent="0.25">
      <c r="A120" t="s">
        <v>296</v>
      </c>
      <c r="B120" t="s">
        <v>297</v>
      </c>
      <c r="C120">
        <v>4</v>
      </c>
      <c r="D120" t="s">
        <v>230</v>
      </c>
      <c r="E120" cm="1">
        <f t="array" ref="E120">_xlfn.SWITCH(D120,"QPSK",0.1,"16QAM",0.25,"64QAM",0.5,"256QAM",0.8,"1024QAM",1,"")</f>
        <v>0.8</v>
      </c>
      <c r="F120" cm="1">
        <f t="array" ref="F120">_xlfn.SWITCH(D120,"QPSK",0.05,"16QAM",0.15,"64QAM",0.4,"256QAM",0.75,"1024QAM",1,"")</f>
        <v>0.75</v>
      </c>
      <c r="G120" t="s">
        <v>60</v>
      </c>
      <c r="H120">
        <v>4</v>
      </c>
      <c r="I120" t="s">
        <v>61</v>
      </c>
      <c r="J120">
        <v>2</v>
      </c>
      <c r="K120">
        <v>2</v>
      </c>
      <c r="L120" t="s">
        <v>62</v>
      </c>
      <c r="M120">
        <v>2</v>
      </c>
      <c r="N120">
        <v>0.47849999999999998</v>
      </c>
      <c r="O120">
        <v>0.48249999999999998</v>
      </c>
      <c r="P120">
        <v>5000</v>
      </c>
      <c r="Q120">
        <v>1255</v>
      </c>
      <c r="R120">
        <v>3745</v>
      </c>
      <c r="S120">
        <v>3.98</v>
      </c>
      <c r="T120">
        <v>2.98</v>
      </c>
      <c r="W120">
        <v>83</v>
      </c>
      <c r="X120">
        <v>0</v>
      </c>
      <c r="Y120">
        <v>98.34</v>
      </c>
      <c r="Z120">
        <v>93.39</v>
      </c>
      <c r="AB120">
        <v>240840000</v>
      </c>
      <c r="AC120">
        <v>3997944</v>
      </c>
      <c r="AD120">
        <v>240840000</v>
      </c>
      <c r="AE120">
        <v>3997944</v>
      </c>
      <c r="AG120">
        <v>6.61</v>
      </c>
      <c r="AH120">
        <v>1.66</v>
      </c>
      <c r="AI120">
        <v>1</v>
      </c>
      <c r="AJ120">
        <v>3.984064</v>
      </c>
      <c r="AK120">
        <v>8.0000000000000002E-3</v>
      </c>
      <c r="AL120">
        <v>0.8</v>
      </c>
      <c r="AM120">
        <v>800</v>
      </c>
      <c r="AN120">
        <v>8.5400000000000004E-2</v>
      </c>
      <c r="AO120">
        <v>30</v>
      </c>
      <c r="AP120">
        <v>21.87</v>
      </c>
      <c r="AQ120">
        <v>0.72</v>
      </c>
      <c r="AR120">
        <v>-5.89</v>
      </c>
      <c r="AS120">
        <v>1.92</v>
      </c>
      <c r="AT120">
        <v>15.93</v>
      </c>
      <c r="AU120">
        <v>6666.69</v>
      </c>
      <c r="AV120">
        <v>35.81</v>
      </c>
      <c r="AW120">
        <v>20.34</v>
      </c>
      <c r="AX120">
        <v>18.440000000000001</v>
      </c>
      <c r="AY120">
        <v>13.177154</v>
      </c>
      <c r="AZ120">
        <v>108.47789</v>
      </c>
      <c r="BA120">
        <v>-17.703316000000001</v>
      </c>
      <c r="BB120">
        <v>0.51800199999999996</v>
      </c>
      <c r="BC120">
        <v>17.703316000000001</v>
      </c>
      <c r="BD120">
        <v>22.177954</v>
      </c>
      <c r="BE120">
        <v>202.730132</v>
      </c>
      <c r="BF120">
        <v>-13.240057999999999</v>
      </c>
      <c r="BG120">
        <v>5.8391200000000003</v>
      </c>
      <c r="BH120">
        <v>13.240057999999999</v>
      </c>
    </row>
    <row r="121" spans="1:60" x14ac:dyDescent="0.25">
      <c r="A121" t="s">
        <v>298</v>
      </c>
      <c r="B121" t="s">
        <v>299</v>
      </c>
      <c r="C121">
        <v>4</v>
      </c>
      <c r="D121" t="s">
        <v>230</v>
      </c>
      <c r="E121" cm="1">
        <f t="array" ref="E121">_xlfn.SWITCH(D121,"QPSK",0.1,"16QAM",0.25,"64QAM",0.5,"256QAM",0.8,"1024QAM",1,"")</f>
        <v>0.8</v>
      </c>
      <c r="F121" cm="1">
        <f t="array" ref="F121">_xlfn.SWITCH(D121,"QPSK",0.05,"16QAM",0.15,"64QAM",0.4,"256QAM",0.75,"1024QAM",1,"")</f>
        <v>0.75</v>
      </c>
      <c r="G121" t="s">
        <v>60</v>
      </c>
      <c r="H121">
        <v>8</v>
      </c>
      <c r="I121" t="s">
        <v>61</v>
      </c>
      <c r="J121">
        <v>2</v>
      </c>
      <c r="K121">
        <v>2</v>
      </c>
      <c r="L121" t="s">
        <v>62</v>
      </c>
      <c r="M121">
        <v>2</v>
      </c>
      <c r="N121">
        <v>0.47849999999999998</v>
      </c>
      <c r="O121">
        <v>0.48249999999999998</v>
      </c>
      <c r="P121">
        <v>5000</v>
      </c>
      <c r="Q121">
        <v>1256</v>
      </c>
      <c r="R121">
        <v>3744</v>
      </c>
      <c r="S121">
        <v>3.98</v>
      </c>
      <c r="T121">
        <v>2.98</v>
      </c>
      <c r="W121">
        <v>70</v>
      </c>
      <c r="X121">
        <v>0</v>
      </c>
      <c r="Y121">
        <v>98.6</v>
      </c>
      <c r="Z121">
        <v>94.43</v>
      </c>
      <c r="AB121">
        <v>240840000</v>
      </c>
      <c r="AC121">
        <v>3371760</v>
      </c>
      <c r="AD121">
        <v>240840000</v>
      </c>
      <c r="AE121">
        <v>3371760</v>
      </c>
      <c r="AG121">
        <v>5.57</v>
      </c>
      <c r="AH121">
        <v>1.4</v>
      </c>
      <c r="AI121">
        <v>1</v>
      </c>
      <c r="AJ121">
        <v>3.9808919999999999</v>
      </c>
      <c r="AK121">
        <v>6.7999999999999996E-3</v>
      </c>
      <c r="AL121">
        <v>0.67</v>
      </c>
      <c r="AM121">
        <v>674</v>
      </c>
      <c r="AN121">
        <v>7.1999999999999995E-2</v>
      </c>
      <c r="AO121">
        <v>30</v>
      </c>
      <c r="AP121">
        <v>21.87</v>
      </c>
      <c r="AQ121">
        <v>0.72</v>
      </c>
      <c r="AR121">
        <v>-5.89</v>
      </c>
      <c r="AS121">
        <v>1.92</v>
      </c>
      <c r="AT121">
        <v>15.95</v>
      </c>
      <c r="AU121">
        <v>6666.69</v>
      </c>
      <c r="AV121">
        <v>35.81</v>
      </c>
      <c r="AW121">
        <v>20.34</v>
      </c>
      <c r="AX121">
        <v>18.440000000000001</v>
      </c>
      <c r="AY121">
        <v>13.179055999999999</v>
      </c>
      <c r="AZ121">
        <v>109.06741599999999</v>
      </c>
      <c r="BA121">
        <v>-17.702500000000001</v>
      </c>
      <c r="BB121">
        <v>0.56374800000000003</v>
      </c>
      <c r="BC121">
        <v>17.702500000000001</v>
      </c>
      <c r="BD121">
        <v>22.19567</v>
      </c>
      <c r="BE121">
        <v>203.07722999999999</v>
      </c>
      <c r="BF121">
        <v>-13.233067999999999</v>
      </c>
      <c r="BG121">
        <v>5.8489519999999997</v>
      </c>
      <c r="BH121">
        <v>13.233067999999999</v>
      </c>
    </row>
    <row r="122" spans="1:60" x14ac:dyDescent="0.25">
      <c r="A122" t="s">
        <v>300</v>
      </c>
      <c r="B122" t="s">
        <v>301</v>
      </c>
      <c r="C122">
        <v>6</v>
      </c>
      <c r="D122" t="s">
        <v>230</v>
      </c>
      <c r="E122" cm="1">
        <f t="array" ref="E122">_xlfn.SWITCH(D122,"QPSK",0.1,"16QAM",0.25,"64QAM",0.5,"256QAM",0.8,"1024QAM",1,"")</f>
        <v>0.8</v>
      </c>
      <c r="F122" cm="1">
        <f t="array" ref="F122">_xlfn.SWITCH(D122,"QPSK",0.05,"16QAM",0.15,"64QAM",0.4,"256QAM",0.75,"1024QAM",1,"")</f>
        <v>0.75</v>
      </c>
      <c r="G122" t="s">
        <v>60</v>
      </c>
      <c r="H122">
        <v>1</v>
      </c>
      <c r="I122" t="s">
        <v>61</v>
      </c>
      <c r="J122">
        <v>2</v>
      </c>
      <c r="K122">
        <v>2</v>
      </c>
      <c r="L122" t="s">
        <v>62</v>
      </c>
      <c r="M122">
        <v>2</v>
      </c>
      <c r="N122">
        <v>0.47849999999999998</v>
      </c>
      <c r="O122">
        <v>0.48249999999999998</v>
      </c>
      <c r="P122">
        <v>5000</v>
      </c>
      <c r="Q122">
        <v>1267</v>
      </c>
      <c r="R122">
        <v>3733</v>
      </c>
      <c r="S122">
        <v>3.95</v>
      </c>
      <c r="T122">
        <v>2.95</v>
      </c>
      <c r="W122">
        <v>356</v>
      </c>
      <c r="X122">
        <v>0</v>
      </c>
      <c r="Y122">
        <v>92.88</v>
      </c>
      <c r="Z122">
        <v>71.900000000000006</v>
      </c>
      <c r="AB122">
        <v>240840000</v>
      </c>
      <c r="AC122">
        <v>17147808</v>
      </c>
      <c r="AD122">
        <v>240840000</v>
      </c>
      <c r="AE122">
        <v>17147808</v>
      </c>
      <c r="AG122">
        <v>28.1</v>
      </c>
      <c r="AH122">
        <v>7.12</v>
      </c>
      <c r="AI122">
        <v>1</v>
      </c>
      <c r="AJ122">
        <v>3.9463300000000001</v>
      </c>
      <c r="AK122">
        <v>3.44E-2</v>
      </c>
      <c r="AL122">
        <v>3.43</v>
      </c>
      <c r="AM122">
        <v>3430</v>
      </c>
      <c r="AN122">
        <v>0.3664</v>
      </c>
      <c r="AO122">
        <v>30</v>
      </c>
      <c r="AP122">
        <v>21.87</v>
      </c>
      <c r="AQ122">
        <v>0.72</v>
      </c>
      <c r="AR122">
        <v>-5.93</v>
      </c>
      <c r="AS122">
        <v>1.95</v>
      </c>
      <c r="AT122">
        <v>19.38</v>
      </c>
      <c r="AU122">
        <v>6666.69</v>
      </c>
      <c r="AV122">
        <v>35.81</v>
      </c>
      <c r="AW122">
        <v>20.64</v>
      </c>
      <c r="AX122">
        <v>18.940000000000001</v>
      </c>
      <c r="AY122">
        <v>11.65645</v>
      </c>
      <c r="AZ122">
        <v>94.494382000000002</v>
      </c>
      <c r="BA122">
        <v>-18.769628000000001</v>
      </c>
      <c r="BB122">
        <v>-0.71500399999999997</v>
      </c>
      <c r="BC122">
        <v>18.769628000000001</v>
      </c>
      <c r="BD122">
        <v>20.644933999999999</v>
      </c>
      <c r="BE122">
        <v>184.66405599999999</v>
      </c>
      <c r="BF122">
        <v>-13.895683999999999</v>
      </c>
      <c r="BG122">
        <v>5.0074820000000004</v>
      </c>
      <c r="BH122">
        <v>13.895683999999999</v>
      </c>
    </row>
    <row r="123" spans="1:60" x14ac:dyDescent="0.25">
      <c r="A123" t="s">
        <v>302</v>
      </c>
      <c r="B123" t="s">
        <v>303</v>
      </c>
      <c r="C123">
        <v>6</v>
      </c>
      <c r="D123" t="s">
        <v>230</v>
      </c>
      <c r="E123" cm="1">
        <f t="array" ref="E123">_xlfn.SWITCH(D123,"QPSK",0.1,"16QAM",0.25,"64QAM",0.5,"256QAM",0.8,"1024QAM",1,"")</f>
        <v>0.8</v>
      </c>
      <c r="F123" cm="1">
        <f t="array" ref="F123">_xlfn.SWITCH(D123,"QPSK",0.05,"16QAM",0.15,"64QAM",0.4,"256QAM",0.75,"1024QAM",1,"")</f>
        <v>0.75</v>
      </c>
      <c r="G123" t="s">
        <v>60</v>
      </c>
      <c r="H123">
        <v>4</v>
      </c>
      <c r="I123" t="s">
        <v>61</v>
      </c>
      <c r="J123">
        <v>2</v>
      </c>
      <c r="K123">
        <v>2</v>
      </c>
      <c r="L123" t="s">
        <v>62</v>
      </c>
      <c r="M123">
        <v>2</v>
      </c>
      <c r="N123">
        <v>0.47849999999999998</v>
      </c>
      <c r="O123">
        <v>0.48249999999999998</v>
      </c>
      <c r="P123">
        <v>5000</v>
      </c>
      <c r="Q123">
        <v>1266</v>
      </c>
      <c r="R123">
        <v>3734</v>
      </c>
      <c r="S123">
        <v>3.95</v>
      </c>
      <c r="T123">
        <v>2.95</v>
      </c>
      <c r="W123">
        <v>357</v>
      </c>
      <c r="X123">
        <v>0</v>
      </c>
      <c r="Y123">
        <v>92.86</v>
      </c>
      <c r="Z123">
        <v>71.8</v>
      </c>
      <c r="AB123">
        <v>240840000</v>
      </c>
      <c r="AC123">
        <v>17195976</v>
      </c>
      <c r="AD123">
        <v>240840000</v>
      </c>
      <c r="AE123">
        <v>17195976</v>
      </c>
      <c r="AG123">
        <v>28.2</v>
      </c>
      <c r="AH123">
        <v>7.14</v>
      </c>
      <c r="AI123">
        <v>1</v>
      </c>
      <c r="AJ123">
        <v>3.9494470000000002</v>
      </c>
      <c r="AK123">
        <v>3.44E-2</v>
      </c>
      <c r="AL123">
        <v>3.44</v>
      </c>
      <c r="AM123">
        <v>3439</v>
      </c>
      <c r="AN123">
        <v>0.3674</v>
      </c>
      <c r="AO123">
        <v>30</v>
      </c>
      <c r="AP123">
        <v>21.87</v>
      </c>
      <c r="AQ123">
        <v>0.72</v>
      </c>
      <c r="AR123">
        <v>-5.93</v>
      </c>
      <c r="AS123">
        <v>1.95</v>
      </c>
      <c r="AT123">
        <v>18.989999999999998</v>
      </c>
      <c r="AU123">
        <v>6666.69</v>
      </c>
      <c r="AV123">
        <v>35.81</v>
      </c>
      <c r="AW123">
        <v>20.64</v>
      </c>
      <c r="AX123">
        <v>18.940000000000001</v>
      </c>
      <c r="AY123">
        <v>11.654415999999999</v>
      </c>
      <c r="AZ123">
        <v>94.379548</v>
      </c>
      <c r="BA123">
        <v>-18.770302000000001</v>
      </c>
      <c r="BB123">
        <v>-0.71730400000000005</v>
      </c>
      <c r="BC123">
        <v>18.770302000000001</v>
      </c>
      <c r="BD123">
        <v>20.645824000000001</v>
      </c>
      <c r="BE123">
        <v>184.95750799999999</v>
      </c>
      <c r="BF123">
        <v>-13.895298</v>
      </c>
      <c r="BG123">
        <v>5.0163159999999998</v>
      </c>
      <c r="BH123">
        <v>13.895298</v>
      </c>
    </row>
    <row r="124" spans="1:60" x14ac:dyDescent="0.25">
      <c r="A124" t="s">
        <v>304</v>
      </c>
      <c r="B124" t="s">
        <v>305</v>
      </c>
      <c r="C124">
        <v>6</v>
      </c>
      <c r="D124" t="s">
        <v>230</v>
      </c>
      <c r="E124" cm="1">
        <f t="array" ref="E124">_xlfn.SWITCH(D124,"QPSK",0.1,"16QAM",0.25,"64QAM",0.5,"256QAM",0.8,"1024QAM",1,"")</f>
        <v>0.8</v>
      </c>
      <c r="F124" cm="1">
        <f t="array" ref="F124">_xlfn.SWITCH(D124,"QPSK",0.05,"16QAM",0.15,"64QAM",0.4,"256QAM",0.75,"1024QAM",1,"")</f>
        <v>0.75</v>
      </c>
      <c r="G124" t="s">
        <v>60</v>
      </c>
      <c r="H124">
        <v>8</v>
      </c>
      <c r="I124" t="s">
        <v>61</v>
      </c>
      <c r="J124">
        <v>2</v>
      </c>
      <c r="K124">
        <v>2</v>
      </c>
      <c r="L124" t="s">
        <v>62</v>
      </c>
      <c r="M124">
        <v>2</v>
      </c>
      <c r="N124">
        <v>0.47849999999999998</v>
      </c>
      <c r="O124">
        <v>0.48249999999999998</v>
      </c>
      <c r="P124">
        <v>5000</v>
      </c>
      <c r="Q124">
        <v>1265</v>
      </c>
      <c r="R124">
        <v>3735</v>
      </c>
      <c r="S124">
        <v>3.95</v>
      </c>
      <c r="T124">
        <v>2.95</v>
      </c>
      <c r="W124">
        <v>348</v>
      </c>
      <c r="X124">
        <v>0</v>
      </c>
      <c r="Y124">
        <v>93.04</v>
      </c>
      <c r="Z124">
        <v>72.489999999999995</v>
      </c>
      <c r="AB124">
        <v>240840000</v>
      </c>
      <c r="AC124">
        <v>16762464</v>
      </c>
      <c r="AD124">
        <v>240840000</v>
      </c>
      <c r="AE124">
        <v>16762464</v>
      </c>
      <c r="AG124">
        <v>27.51</v>
      </c>
      <c r="AH124">
        <v>6.96</v>
      </c>
      <c r="AI124">
        <v>1</v>
      </c>
      <c r="AJ124">
        <v>3.952569</v>
      </c>
      <c r="AK124">
        <v>3.3599999999999998E-2</v>
      </c>
      <c r="AL124">
        <v>3.35</v>
      </c>
      <c r="AM124">
        <v>3352</v>
      </c>
      <c r="AN124">
        <v>0.35820000000000002</v>
      </c>
      <c r="AO124">
        <v>30</v>
      </c>
      <c r="AP124">
        <v>21.87</v>
      </c>
      <c r="AQ124">
        <v>0.72</v>
      </c>
      <c r="AR124">
        <v>-5.93</v>
      </c>
      <c r="AS124">
        <v>1.95</v>
      </c>
      <c r="AT124">
        <v>19.29</v>
      </c>
      <c r="AU124">
        <v>6666.69</v>
      </c>
      <c r="AV124">
        <v>35.81</v>
      </c>
      <c r="AW124">
        <v>20.64</v>
      </c>
      <c r="AX124">
        <v>18.940000000000001</v>
      </c>
      <c r="AY124">
        <v>11.65911</v>
      </c>
      <c r="AZ124">
        <v>94.516468000000003</v>
      </c>
      <c r="BA124">
        <v>-18.767410000000002</v>
      </c>
      <c r="BB124">
        <v>-0.71406400000000003</v>
      </c>
      <c r="BC124">
        <v>18.767410000000002</v>
      </c>
      <c r="BD124">
        <v>20.643954000000001</v>
      </c>
      <c r="BE124">
        <v>184.89202399999999</v>
      </c>
      <c r="BF124">
        <v>-13.897052</v>
      </c>
      <c r="BG124">
        <v>5.0186760000000001</v>
      </c>
      <c r="BH124">
        <v>13.897052</v>
      </c>
    </row>
    <row r="125" spans="1:60" x14ac:dyDescent="0.25">
      <c r="A125" t="s">
        <v>306</v>
      </c>
      <c r="B125" t="s">
        <v>307</v>
      </c>
      <c r="C125">
        <v>8</v>
      </c>
      <c r="D125" t="s">
        <v>230</v>
      </c>
      <c r="E125" cm="1">
        <f t="array" ref="E125">_xlfn.SWITCH(D125,"QPSK",0.1,"16QAM",0.25,"64QAM",0.5,"256QAM",0.8,"1024QAM",1,"")</f>
        <v>0.8</v>
      </c>
      <c r="F125" cm="1">
        <f t="array" ref="F125">_xlfn.SWITCH(D125,"QPSK",0.05,"16QAM",0.15,"64QAM",0.4,"256QAM",0.75,"1024QAM",1,"")</f>
        <v>0.75</v>
      </c>
      <c r="G125" t="s">
        <v>60</v>
      </c>
      <c r="H125">
        <v>1</v>
      </c>
      <c r="I125" t="s">
        <v>61</v>
      </c>
      <c r="J125">
        <v>2</v>
      </c>
      <c r="K125">
        <v>2</v>
      </c>
      <c r="L125" t="s">
        <v>62</v>
      </c>
      <c r="M125">
        <v>2</v>
      </c>
      <c r="N125">
        <v>0.47849999999999998</v>
      </c>
      <c r="O125">
        <v>0.48249999999999998</v>
      </c>
      <c r="P125">
        <v>5000</v>
      </c>
      <c r="Q125">
        <v>1332</v>
      </c>
      <c r="R125">
        <v>3668</v>
      </c>
      <c r="S125">
        <v>3.75</v>
      </c>
      <c r="T125">
        <v>2.75</v>
      </c>
      <c r="W125">
        <v>760</v>
      </c>
      <c r="X125">
        <v>0</v>
      </c>
      <c r="Y125">
        <v>84.8</v>
      </c>
      <c r="Z125">
        <v>42.94</v>
      </c>
      <c r="AB125">
        <v>240840000</v>
      </c>
      <c r="AC125">
        <v>36607680</v>
      </c>
      <c r="AD125">
        <v>240840000</v>
      </c>
      <c r="AE125">
        <v>36607680</v>
      </c>
      <c r="AG125">
        <v>57.06</v>
      </c>
      <c r="AH125">
        <v>15.2</v>
      </c>
      <c r="AI125">
        <v>1</v>
      </c>
      <c r="AJ125">
        <v>3.7537539999999998</v>
      </c>
      <c r="AK125">
        <v>7.3300000000000004E-2</v>
      </c>
      <c r="AL125">
        <v>7.32</v>
      </c>
      <c r="AM125">
        <v>7322</v>
      </c>
      <c r="AN125">
        <v>0.78220000000000001</v>
      </c>
      <c r="AO125">
        <v>30</v>
      </c>
      <c r="AP125">
        <v>21.87</v>
      </c>
      <c r="AQ125">
        <v>0.72</v>
      </c>
      <c r="AR125">
        <v>-5.94</v>
      </c>
      <c r="AS125">
        <v>1.97</v>
      </c>
      <c r="AT125">
        <v>21.5</v>
      </c>
      <c r="AU125">
        <v>6666.69</v>
      </c>
      <c r="AV125">
        <v>35.81</v>
      </c>
      <c r="AW125">
        <v>20.95</v>
      </c>
      <c r="AX125">
        <v>19.170000000000002</v>
      </c>
      <c r="AY125">
        <v>10.475958</v>
      </c>
      <c r="AZ125">
        <v>85.428663999999998</v>
      </c>
      <c r="BA125">
        <v>-19.689422</v>
      </c>
      <c r="BB125">
        <v>-1.6829099999999999</v>
      </c>
      <c r="BC125">
        <v>19.689422</v>
      </c>
      <c r="BD125">
        <v>19.123462</v>
      </c>
      <c r="BE125">
        <v>170.321168</v>
      </c>
      <c r="BF125">
        <v>-14.57624</v>
      </c>
      <c r="BG125">
        <v>4.3192440000000003</v>
      </c>
      <c r="BH125">
        <v>14.57624</v>
      </c>
    </row>
    <row r="126" spans="1:60" x14ac:dyDescent="0.25">
      <c r="A126" t="s">
        <v>308</v>
      </c>
      <c r="B126" t="s">
        <v>309</v>
      </c>
      <c r="C126">
        <v>8</v>
      </c>
      <c r="D126" t="s">
        <v>230</v>
      </c>
      <c r="E126" cm="1">
        <f t="array" ref="E126">_xlfn.SWITCH(D126,"QPSK",0.1,"16QAM",0.25,"64QAM",0.5,"256QAM",0.8,"1024QAM",1,"")</f>
        <v>0.8</v>
      </c>
      <c r="F126" cm="1">
        <f t="array" ref="F126">_xlfn.SWITCH(D126,"QPSK",0.05,"16QAM",0.15,"64QAM",0.4,"256QAM",0.75,"1024QAM",1,"")</f>
        <v>0.75</v>
      </c>
      <c r="G126" t="s">
        <v>60</v>
      </c>
      <c r="H126">
        <v>4</v>
      </c>
      <c r="I126" t="s">
        <v>61</v>
      </c>
      <c r="J126">
        <v>2</v>
      </c>
      <c r="K126">
        <v>2</v>
      </c>
      <c r="L126" t="s">
        <v>62</v>
      </c>
      <c r="M126">
        <v>2</v>
      </c>
      <c r="N126">
        <v>0.47849999999999998</v>
      </c>
      <c r="O126">
        <v>0.48249999999999998</v>
      </c>
      <c r="P126">
        <v>5000</v>
      </c>
      <c r="Q126">
        <v>1328</v>
      </c>
      <c r="R126">
        <v>3672</v>
      </c>
      <c r="S126">
        <v>3.77</v>
      </c>
      <c r="T126">
        <v>2.77</v>
      </c>
      <c r="W126">
        <v>772</v>
      </c>
      <c r="X126">
        <v>0</v>
      </c>
      <c r="Y126">
        <v>84.56</v>
      </c>
      <c r="Z126">
        <v>41.87</v>
      </c>
      <c r="AB126">
        <v>240840000</v>
      </c>
      <c r="AC126">
        <v>37185696</v>
      </c>
      <c r="AD126">
        <v>240840000</v>
      </c>
      <c r="AE126">
        <v>37185696</v>
      </c>
      <c r="AG126">
        <v>58.13</v>
      </c>
      <c r="AH126">
        <v>15.44</v>
      </c>
      <c r="AI126">
        <v>1</v>
      </c>
      <c r="AJ126">
        <v>3.7650600000000001</v>
      </c>
      <c r="AK126">
        <v>7.4499999999999997E-2</v>
      </c>
      <c r="AL126">
        <v>7.44</v>
      </c>
      <c r="AM126">
        <v>7437</v>
      </c>
      <c r="AN126">
        <v>0.79459999999999997</v>
      </c>
      <c r="AO126">
        <v>30</v>
      </c>
      <c r="AP126">
        <v>21.87</v>
      </c>
      <c r="AQ126">
        <v>0.72</v>
      </c>
      <c r="AR126">
        <v>-5.94</v>
      </c>
      <c r="AS126">
        <v>1.97</v>
      </c>
      <c r="AT126">
        <v>21.71</v>
      </c>
      <c r="AU126">
        <v>6666.69</v>
      </c>
      <c r="AV126">
        <v>35.81</v>
      </c>
      <c r="AW126">
        <v>20.96</v>
      </c>
      <c r="AX126">
        <v>19.18</v>
      </c>
      <c r="AY126">
        <v>10.470364</v>
      </c>
      <c r="AZ126">
        <v>85.052475999999999</v>
      </c>
      <c r="BA126">
        <v>-19.693648</v>
      </c>
      <c r="BB126">
        <v>-1.720656</v>
      </c>
      <c r="BC126">
        <v>19.693648</v>
      </c>
      <c r="BD126">
        <v>19.111167999999999</v>
      </c>
      <c r="BE126">
        <v>170.04675800000001</v>
      </c>
      <c r="BF126">
        <v>-14.584628</v>
      </c>
      <c r="BG126">
        <v>4.2972400000000004</v>
      </c>
      <c r="BH126">
        <v>14.584628</v>
      </c>
    </row>
    <row r="127" spans="1:60" x14ac:dyDescent="0.25">
      <c r="A127" t="s">
        <v>310</v>
      </c>
      <c r="B127" t="s">
        <v>311</v>
      </c>
      <c r="C127">
        <v>8</v>
      </c>
      <c r="D127" t="s">
        <v>230</v>
      </c>
      <c r="E127" cm="1">
        <f t="array" ref="E127">_xlfn.SWITCH(D127,"QPSK",0.1,"16QAM",0.25,"64QAM",0.5,"256QAM",0.8,"1024QAM",1,"")</f>
        <v>0.8</v>
      </c>
      <c r="F127" cm="1">
        <f t="array" ref="F127">_xlfn.SWITCH(D127,"QPSK",0.05,"16QAM",0.15,"64QAM",0.4,"256QAM",0.75,"1024QAM",1,"")</f>
        <v>0.75</v>
      </c>
      <c r="G127" t="s">
        <v>60</v>
      </c>
      <c r="H127">
        <v>8</v>
      </c>
      <c r="I127" t="s">
        <v>61</v>
      </c>
      <c r="J127">
        <v>2</v>
      </c>
      <c r="K127">
        <v>2</v>
      </c>
      <c r="L127" t="s">
        <v>62</v>
      </c>
      <c r="M127">
        <v>2</v>
      </c>
      <c r="N127">
        <v>0.47849999999999998</v>
      </c>
      <c r="O127">
        <v>0.48249999999999998</v>
      </c>
      <c r="P127">
        <v>5000</v>
      </c>
      <c r="Q127">
        <v>1320</v>
      </c>
      <c r="R127">
        <v>3680</v>
      </c>
      <c r="S127">
        <v>3.79</v>
      </c>
      <c r="T127">
        <v>2.79</v>
      </c>
      <c r="W127">
        <v>760</v>
      </c>
      <c r="X127">
        <v>0</v>
      </c>
      <c r="Y127">
        <v>84.8</v>
      </c>
      <c r="Z127">
        <v>42.42</v>
      </c>
      <c r="AB127">
        <v>240840000</v>
      </c>
      <c r="AC127">
        <v>36607680</v>
      </c>
      <c r="AD127">
        <v>240840000</v>
      </c>
      <c r="AE127">
        <v>36607680</v>
      </c>
      <c r="AG127">
        <v>57.58</v>
      </c>
      <c r="AH127">
        <v>15.2</v>
      </c>
      <c r="AI127">
        <v>1</v>
      </c>
      <c r="AJ127">
        <v>3.7878790000000002</v>
      </c>
      <c r="AK127">
        <v>7.3300000000000004E-2</v>
      </c>
      <c r="AL127">
        <v>7.32</v>
      </c>
      <c r="AM127">
        <v>7322</v>
      </c>
      <c r="AN127">
        <v>0.78220000000000001</v>
      </c>
      <c r="AO127">
        <v>30</v>
      </c>
      <c r="AP127">
        <v>21.87</v>
      </c>
      <c r="AQ127">
        <v>0.72</v>
      </c>
      <c r="AR127">
        <v>-5.94</v>
      </c>
      <c r="AS127">
        <v>1.97</v>
      </c>
      <c r="AT127">
        <v>21.52</v>
      </c>
      <c r="AU127">
        <v>6666.69</v>
      </c>
      <c r="AV127">
        <v>35.81</v>
      </c>
      <c r="AW127">
        <v>20.95</v>
      </c>
      <c r="AX127">
        <v>19.170000000000002</v>
      </c>
      <c r="AY127">
        <v>10.477650000000001</v>
      </c>
      <c r="AZ127">
        <v>85.413257999999999</v>
      </c>
      <c r="BA127">
        <v>-19.687566</v>
      </c>
      <c r="BB127">
        <v>-1.688642</v>
      </c>
      <c r="BC127">
        <v>19.687566</v>
      </c>
      <c r="BD127">
        <v>19.114961999999998</v>
      </c>
      <c r="BE127">
        <v>169.85046399999999</v>
      </c>
      <c r="BF127">
        <v>-14.581604</v>
      </c>
      <c r="BG127">
        <v>4.3017240000000001</v>
      </c>
      <c r="BH127">
        <v>14.581604</v>
      </c>
    </row>
    <row r="128" spans="1:60" x14ac:dyDescent="0.25">
      <c r="A128" t="s">
        <v>312</v>
      </c>
      <c r="B128" t="s">
        <v>313</v>
      </c>
      <c r="C128">
        <v>0</v>
      </c>
      <c r="D128" t="s">
        <v>314</v>
      </c>
      <c r="E128" cm="1">
        <f t="array" ref="E128">_xlfn.SWITCH(D128,"QPSK",0.1,"16QAM",0.25,"64QAM",0.5,"256QAM",0.8,"1024QAM",1,"")</f>
        <v>0.5</v>
      </c>
      <c r="F128" cm="1">
        <f t="array" ref="F128">_xlfn.SWITCH(D128,"QPSK",0.05,"16QAM",0.15,"64QAM",0.4,"256QAM",0.75,"1024QAM",1,"")</f>
        <v>0.4</v>
      </c>
      <c r="G128" t="s">
        <v>60</v>
      </c>
      <c r="H128">
        <v>1</v>
      </c>
      <c r="I128" t="s">
        <v>61</v>
      </c>
      <c r="J128">
        <v>2</v>
      </c>
      <c r="K128">
        <v>2</v>
      </c>
      <c r="L128" t="s">
        <v>62</v>
      </c>
      <c r="M128">
        <v>2</v>
      </c>
      <c r="N128">
        <v>0.47849999999999998</v>
      </c>
      <c r="O128">
        <v>0.4788</v>
      </c>
      <c r="P128">
        <v>5000</v>
      </c>
      <c r="Q128">
        <v>1250</v>
      </c>
      <c r="R128">
        <v>3750</v>
      </c>
      <c r="S128">
        <v>4</v>
      </c>
      <c r="T128">
        <v>3</v>
      </c>
      <c r="W128">
        <v>11</v>
      </c>
      <c r="X128">
        <v>0</v>
      </c>
      <c r="Y128">
        <v>99.78</v>
      </c>
      <c r="Z128">
        <v>99.12</v>
      </c>
      <c r="AB128">
        <v>179280000</v>
      </c>
      <c r="AC128">
        <v>394416</v>
      </c>
      <c r="AD128">
        <v>179280000</v>
      </c>
      <c r="AE128">
        <v>394416</v>
      </c>
      <c r="AG128">
        <v>0.88</v>
      </c>
      <c r="AH128">
        <v>0.22</v>
      </c>
      <c r="AI128">
        <v>1</v>
      </c>
      <c r="AJ128">
        <v>4</v>
      </c>
      <c r="AK128">
        <v>1.1000000000000001E-3</v>
      </c>
      <c r="AL128">
        <v>0.08</v>
      </c>
      <c r="AM128">
        <v>79</v>
      </c>
      <c r="AN128">
        <v>8.3999999999999995E-3</v>
      </c>
      <c r="AO128">
        <v>30</v>
      </c>
      <c r="AP128">
        <v>21.87</v>
      </c>
      <c r="AQ128">
        <v>0.72</v>
      </c>
      <c r="AR128">
        <v>-5.73</v>
      </c>
      <c r="AS128">
        <v>1.84</v>
      </c>
      <c r="AT128">
        <v>10.64</v>
      </c>
      <c r="AU128">
        <v>6666.69</v>
      </c>
      <c r="AV128">
        <v>35.81</v>
      </c>
      <c r="AW128">
        <v>14.83</v>
      </c>
      <c r="AX128">
        <v>11.05</v>
      </c>
      <c r="AY128">
        <v>22.237054000000001</v>
      </c>
      <c r="AZ128">
        <v>151.002554</v>
      </c>
      <c r="BA128">
        <v>-13.095105999999999</v>
      </c>
      <c r="BB128">
        <v>3.4456039999999999</v>
      </c>
      <c r="BC128">
        <v>13.095105999999999</v>
      </c>
      <c r="BD128">
        <v>30.238776000000001</v>
      </c>
      <c r="BE128">
        <v>253.485276</v>
      </c>
      <c r="BF128">
        <v>-10.451668</v>
      </c>
      <c r="BG128">
        <v>7.8437840000000003</v>
      </c>
      <c r="BH128">
        <v>10.451668</v>
      </c>
    </row>
    <row r="129" spans="1:60" x14ac:dyDescent="0.25">
      <c r="A129" t="s">
        <v>315</v>
      </c>
      <c r="B129" t="s">
        <v>316</v>
      </c>
      <c r="C129">
        <v>0</v>
      </c>
      <c r="D129" t="s">
        <v>314</v>
      </c>
      <c r="E129" cm="1">
        <f t="array" ref="E129">_xlfn.SWITCH(D129,"QPSK",0.1,"16QAM",0.25,"64QAM",0.5,"256QAM",0.8,"1024QAM",1,"")</f>
        <v>0.5</v>
      </c>
      <c r="F129" cm="1">
        <f t="array" ref="F129">_xlfn.SWITCH(D129,"QPSK",0.05,"16QAM",0.15,"64QAM",0.4,"256QAM",0.75,"1024QAM",1,"")</f>
        <v>0.4</v>
      </c>
      <c r="G129" t="s">
        <v>60</v>
      </c>
      <c r="H129">
        <v>4</v>
      </c>
      <c r="I129" t="s">
        <v>61</v>
      </c>
      <c r="J129">
        <v>2</v>
      </c>
      <c r="K129">
        <v>2</v>
      </c>
      <c r="L129" t="s">
        <v>62</v>
      </c>
      <c r="M129">
        <v>2</v>
      </c>
      <c r="N129">
        <v>0.47849999999999998</v>
      </c>
      <c r="O129">
        <v>0.4788</v>
      </c>
      <c r="P129">
        <v>5000</v>
      </c>
      <c r="Q129">
        <v>1252</v>
      </c>
      <c r="R129">
        <v>3748</v>
      </c>
      <c r="S129">
        <v>3.99</v>
      </c>
      <c r="T129">
        <v>2.99</v>
      </c>
      <c r="W129">
        <v>12</v>
      </c>
      <c r="X129">
        <v>0</v>
      </c>
      <c r="Y129">
        <v>99.76</v>
      </c>
      <c r="Z129">
        <v>99.04</v>
      </c>
      <c r="AB129">
        <v>179280000</v>
      </c>
      <c r="AC129">
        <v>430272</v>
      </c>
      <c r="AD129">
        <v>179280000</v>
      </c>
      <c r="AE129">
        <v>430272</v>
      </c>
      <c r="AG129">
        <v>0.96</v>
      </c>
      <c r="AH129">
        <v>0.24</v>
      </c>
      <c r="AI129">
        <v>1</v>
      </c>
      <c r="AJ129">
        <v>3.9936099999999999</v>
      </c>
      <c r="AK129">
        <v>1.1000000000000001E-3</v>
      </c>
      <c r="AL129">
        <v>0.09</v>
      </c>
      <c r="AM129">
        <v>86</v>
      </c>
      <c r="AN129">
        <v>9.1999999999999998E-3</v>
      </c>
      <c r="AO129">
        <v>30</v>
      </c>
      <c r="AP129">
        <v>21.87</v>
      </c>
      <c r="AQ129">
        <v>0.72</v>
      </c>
      <c r="AR129">
        <v>-5.73</v>
      </c>
      <c r="AS129">
        <v>1.85</v>
      </c>
      <c r="AT129">
        <v>10.53</v>
      </c>
      <c r="AU129">
        <v>6666.69</v>
      </c>
      <c r="AV129">
        <v>35.81</v>
      </c>
      <c r="AW129">
        <v>14.83</v>
      </c>
      <c r="AX129">
        <v>11.06</v>
      </c>
      <c r="AY129">
        <v>22.241346</v>
      </c>
      <c r="AZ129">
        <v>151.39587399999999</v>
      </c>
      <c r="BA129">
        <v>-13.092876</v>
      </c>
      <c r="BB129">
        <v>3.47342</v>
      </c>
      <c r="BC129">
        <v>13.092876</v>
      </c>
      <c r="BD129">
        <v>30.223474</v>
      </c>
      <c r="BE129">
        <v>252.48058599999999</v>
      </c>
      <c r="BF129">
        <v>-10.455590000000001</v>
      </c>
      <c r="BG129">
        <v>7.8153499999999996</v>
      </c>
      <c r="BH129">
        <v>10.455590000000001</v>
      </c>
    </row>
    <row r="130" spans="1:60" x14ac:dyDescent="0.25">
      <c r="A130" t="s">
        <v>317</v>
      </c>
      <c r="B130" t="s">
        <v>318</v>
      </c>
      <c r="C130">
        <v>0</v>
      </c>
      <c r="D130" t="s">
        <v>314</v>
      </c>
      <c r="E130" cm="1">
        <f t="array" ref="E130">_xlfn.SWITCH(D130,"QPSK",0.1,"16QAM",0.25,"64QAM",0.5,"256QAM",0.8,"1024QAM",1,"")</f>
        <v>0.5</v>
      </c>
      <c r="F130" cm="1">
        <f t="array" ref="F130">_xlfn.SWITCH(D130,"QPSK",0.05,"16QAM",0.15,"64QAM",0.4,"256QAM",0.75,"1024QAM",1,"")</f>
        <v>0.4</v>
      </c>
      <c r="G130" t="s">
        <v>60</v>
      </c>
      <c r="H130">
        <v>8</v>
      </c>
      <c r="I130" t="s">
        <v>61</v>
      </c>
      <c r="J130">
        <v>2</v>
      </c>
      <c r="K130">
        <v>2</v>
      </c>
      <c r="L130" t="s">
        <v>62</v>
      </c>
      <c r="M130">
        <v>2</v>
      </c>
      <c r="N130">
        <v>0.47849999999999998</v>
      </c>
      <c r="O130">
        <v>0.4788</v>
      </c>
      <c r="P130">
        <v>5000</v>
      </c>
      <c r="Q130">
        <v>1256</v>
      </c>
      <c r="R130">
        <v>3744</v>
      </c>
      <c r="S130">
        <v>3.98</v>
      </c>
      <c r="T130">
        <v>2.98</v>
      </c>
      <c r="W130">
        <v>8</v>
      </c>
      <c r="X130">
        <v>0</v>
      </c>
      <c r="Y130">
        <v>99.84</v>
      </c>
      <c r="Z130">
        <v>99.36</v>
      </c>
      <c r="AB130">
        <v>179280000</v>
      </c>
      <c r="AC130">
        <v>286848</v>
      </c>
      <c r="AD130">
        <v>179280000</v>
      </c>
      <c r="AE130">
        <v>286848</v>
      </c>
      <c r="AG130">
        <v>0.64</v>
      </c>
      <c r="AH130">
        <v>0.16</v>
      </c>
      <c r="AI130">
        <v>1</v>
      </c>
      <c r="AJ130">
        <v>3.9808919999999999</v>
      </c>
      <c r="AK130">
        <v>8.0000000000000004E-4</v>
      </c>
      <c r="AL130">
        <v>0.06</v>
      </c>
      <c r="AM130">
        <v>57</v>
      </c>
      <c r="AN130">
        <v>6.1000000000000004E-3</v>
      </c>
      <c r="AO130">
        <v>30</v>
      </c>
      <c r="AP130">
        <v>21.87</v>
      </c>
      <c r="AQ130">
        <v>0.72</v>
      </c>
      <c r="AR130">
        <v>-5.73</v>
      </c>
      <c r="AS130">
        <v>1.85</v>
      </c>
      <c r="AT130">
        <v>10.55</v>
      </c>
      <c r="AU130">
        <v>6666.69</v>
      </c>
      <c r="AV130">
        <v>35.81</v>
      </c>
      <c r="AW130">
        <v>14.83</v>
      </c>
      <c r="AX130">
        <v>11.05</v>
      </c>
      <c r="AY130">
        <v>22.235612</v>
      </c>
      <c r="AZ130">
        <v>151.041224</v>
      </c>
      <c r="BA130">
        <v>-13.095556</v>
      </c>
      <c r="BB130">
        <v>3.4472160000000001</v>
      </c>
      <c r="BC130">
        <v>13.095556</v>
      </c>
      <c r="BD130">
        <v>30.243145999999999</v>
      </c>
      <c r="BE130">
        <v>254.15038200000001</v>
      </c>
      <c r="BF130">
        <v>-10.451006</v>
      </c>
      <c r="BG130">
        <v>7.8646500000000001</v>
      </c>
      <c r="BH130">
        <v>10.451006</v>
      </c>
    </row>
    <row r="131" spans="1:60" x14ac:dyDescent="0.25">
      <c r="A131" t="s">
        <v>319</v>
      </c>
      <c r="B131" t="s">
        <v>320</v>
      </c>
      <c r="C131">
        <v>10</v>
      </c>
      <c r="D131" t="s">
        <v>314</v>
      </c>
      <c r="E131" cm="1">
        <f t="array" ref="E131">_xlfn.SWITCH(D131,"QPSK",0.1,"16QAM",0.25,"64QAM",0.5,"256QAM",0.8,"1024QAM",1,"")</f>
        <v>0.5</v>
      </c>
      <c r="F131" cm="1">
        <f t="array" ref="F131">_xlfn.SWITCH(D131,"QPSK",0.05,"16QAM",0.15,"64QAM",0.4,"256QAM",0.75,"1024QAM",1,"")</f>
        <v>0.4</v>
      </c>
      <c r="G131" t="s">
        <v>60</v>
      </c>
      <c r="H131">
        <v>1</v>
      </c>
      <c r="I131" t="s">
        <v>61</v>
      </c>
      <c r="J131">
        <v>2</v>
      </c>
      <c r="K131">
        <v>2</v>
      </c>
      <c r="L131" t="s">
        <v>62</v>
      </c>
      <c r="M131">
        <v>2</v>
      </c>
      <c r="N131">
        <v>0.47849999999999998</v>
      </c>
      <c r="O131">
        <v>0.4788</v>
      </c>
      <c r="P131">
        <v>5000</v>
      </c>
      <c r="Q131">
        <v>1992</v>
      </c>
      <c r="R131">
        <v>3008</v>
      </c>
      <c r="S131">
        <v>2.5099999999999998</v>
      </c>
      <c r="T131">
        <v>1.51</v>
      </c>
      <c r="W131">
        <v>1940</v>
      </c>
      <c r="X131">
        <v>0</v>
      </c>
      <c r="Y131">
        <v>61.2</v>
      </c>
      <c r="Z131">
        <v>2.61</v>
      </c>
      <c r="AB131">
        <v>179280000</v>
      </c>
      <c r="AC131">
        <v>69560640</v>
      </c>
      <c r="AD131">
        <v>179280000</v>
      </c>
      <c r="AE131">
        <v>69560640</v>
      </c>
      <c r="AG131">
        <v>97.39</v>
      </c>
      <c r="AH131">
        <v>38.799999999999997</v>
      </c>
      <c r="AI131">
        <v>1</v>
      </c>
      <c r="AJ131">
        <v>2.51004</v>
      </c>
      <c r="AK131">
        <v>0.18579999999999999</v>
      </c>
      <c r="AL131">
        <v>13.91</v>
      </c>
      <c r="AM131">
        <v>13912</v>
      </c>
      <c r="AN131">
        <v>1.4863</v>
      </c>
      <c r="AO131">
        <v>30</v>
      </c>
      <c r="AP131">
        <v>21.87</v>
      </c>
      <c r="AQ131">
        <v>0.72</v>
      </c>
      <c r="AR131">
        <v>-5.93</v>
      </c>
      <c r="AS131">
        <v>1.98</v>
      </c>
      <c r="AT131">
        <v>22.88</v>
      </c>
      <c r="AU131">
        <v>6666.69</v>
      </c>
      <c r="AV131">
        <v>35.81</v>
      </c>
      <c r="AW131">
        <v>16.59</v>
      </c>
      <c r="AX131">
        <v>14.49</v>
      </c>
      <c r="AY131">
        <v>15.371392</v>
      </c>
      <c r="AZ131">
        <v>86.925116000000003</v>
      </c>
      <c r="BA131">
        <v>-16.296932000000002</v>
      </c>
      <c r="BB131">
        <v>-1.6756599999999999</v>
      </c>
      <c r="BC131">
        <v>16.296932000000002</v>
      </c>
      <c r="BD131">
        <v>23.231805999999999</v>
      </c>
      <c r="BE131">
        <v>170.327586</v>
      </c>
      <c r="BF131">
        <v>-12.793778</v>
      </c>
      <c r="BG131">
        <v>4.380458</v>
      </c>
      <c r="BH131">
        <v>12.793778</v>
      </c>
    </row>
    <row r="132" spans="1:60" x14ac:dyDescent="0.25">
      <c r="A132" t="s">
        <v>321</v>
      </c>
      <c r="B132" t="s">
        <v>322</v>
      </c>
      <c r="C132">
        <v>10</v>
      </c>
      <c r="D132" t="s">
        <v>314</v>
      </c>
      <c r="E132" cm="1">
        <f t="array" ref="E132">_xlfn.SWITCH(D132,"QPSK",0.1,"16QAM",0.25,"64QAM",0.5,"256QAM",0.8,"1024QAM",1,"")</f>
        <v>0.5</v>
      </c>
      <c r="F132" cm="1">
        <f t="array" ref="F132">_xlfn.SWITCH(D132,"QPSK",0.05,"16QAM",0.15,"64QAM",0.4,"256QAM",0.75,"1024QAM",1,"")</f>
        <v>0.4</v>
      </c>
      <c r="G132" t="s">
        <v>60</v>
      </c>
      <c r="H132">
        <v>1</v>
      </c>
      <c r="I132" t="s">
        <v>61</v>
      </c>
      <c r="J132">
        <v>2</v>
      </c>
      <c r="K132">
        <v>2</v>
      </c>
      <c r="L132" t="s">
        <v>62</v>
      </c>
      <c r="M132">
        <v>2</v>
      </c>
      <c r="N132">
        <v>0.47849999999999998</v>
      </c>
      <c r="O132">
        <v>0.4788</v>
      </c>
      <c r="P132">
        <v>5000</v>
      </c>
      <c r="Q132">
        <v>1993</v>
      </c>
      <c r="R132">
        <v>3007</v>
      </c>
      <c r="S132">
        <v>2.5099999999999998</v>
      </c>
      <c r="T132">
        <v>1.51</v>
      </c>
      <c r="W132">
        <v>1941</v>
      </c>
      <c r="X132">
        <v>0</v>
      </c>
      <c r="Y132">
        <v>61.18</v>
      </c>
      <c r="Z132">
        <v>2.61</v>
      </c>
      <c r="AB132">
        <v>179280000</v>
      </c>
      <c r="AC132">
        <v>69596496</v>
      </c>
      <c r="AD132">
        <v>179280000</v>
      </c>
      <c r="AE132">
        <v>69596496</v>
      </c>
      <c r="AG132">
        <v>97.39</v>
      </c>
      <c r="AH132">
        <v>38.82</v>
      </c>
      <c r="AI132">
        <v>1</v>
      </c>
      <c r="AJ132">
        <v>2.5087809999999999</v>
      </c>
      <c r="AK132">
        <v>0.18590000000000001</v>
      </c>
      <c r="AL132">
        <v>13.92</v>
      </c>
      <c r="AM132">
        <v>13919</v>
      </c>
      <c r="AN132">
        <v>1.4871000000000001</v>
      </c>
      <c r="AO132">
        <v>30</v>
      </c>
      <c r="AP132">
        <v>21.87</v>
      </c>
      <c r="AQ132">
        <v>0.72</v>
      </c>
      <c r="AR132">
        <v>-5.93</v>
      </c>
      <c r="AS132">
        <v>1.98</v>
      </c>
      <c r="AT132">
        <v>22.9</v>
      </c>
      <c r="AU132">
        <v>6666.69</v>
      </c>
      <c r="AV132">
        <v>35.81</v>
      </c>
      <c r="AW132">
        <v>16.59</v>
      </c>
      <c r="AX132">
        <v>14.48</v>
      </c>
      <c r="AY132">
        <v>15.383806</v>
      </c>
      <c r="AZ132">
        <v>87.198986000000005</v>
      </c>
      <c r="BA132">
        <v>-16.290171999999998</v>
      </c>
      <c r="BB132">
        <v>-1.64836</v>
      </c>
      <c r="BC132">
        <v>16.290171999999998</v>
      </c>
      <c r="BD132">
        <v>23.25461</v>
      </c>
      <c r="BE132">
        <v>170.64832799999999</v>
      </c>
      <c r="BF132">
        <v>-12.786517999999999</v>
      </c>
      <c r="BG132">
        <v>4.3907879999999997</v>
      </c>
      <c r="BH132">
        <v>12.786517999999999</v>
      </c>
    </row>
    <row r="133" spans="1:60" x14ac:dyDescent="0.25">
      <c r="A133" t="s">
        <v>323</v>
      </c>
      <c r="B133" t="s">
        <v>324</v>
      </c>
      <c r="C133">
        <v>10</v>
      </c>
      <c r="D133" t="s">
        <v>314</v>
      </c>
      <c r="E133" cm="1">
        <f t="array" ref="E133">_xlfn.SWITCH(D133,"QPSK",0.1,"16QAM",0.25,"64QAM",0.5,"256QAM",0.8,"1024QAM",1,"")</f>
        <v>0.5</v>
      </c>
      <c r="F133" cm="1">
        <f t="array" ref="F133">_xlfn.SWITCH(D133,"QPSK",0.05,"16QAM",0.15,"64QAM",0.4,"256QAM",0.75,"1024QAM",1,"")</f>
        <v>0.4</v>
      </c>
      <c r="G133" t="s">
        <v>60</v>
      </c>
      <c r="H133">
        <v>4</v>
      </c>
      <c r="I133" t="s">
        <v>61</v>
      </c>
      <c r="J133">
        <v>2</v>
      </c>
      <c r="K133">
        <v>2</v>
      </c>
      <c r="L133" t="s">
        <v>62</v>
      </c>
      <c r="M133">
        <v>2</v>
      </c>
      <c r="N133">
        <v>0.47849999999999998</v>
      </c>
      <c r="O133">
        <v>0.4788</v>
      </c>
      <c r="P133">
        <v>5000</v>
      </c>
      <c r="Q133">
        <v>1987</v>
      </c>
      <c r="R133">
        <v>3013</v>
      </c>
      <c r="S133">
        <v>2.52</v>
      </c>
      <c r="T133">
        <v>1.52</v>
      </c>
      <c r="W133">
        <v>1941</v>
      </c>
      <c r="X133">
        <v>0</v>
      </c>
      <c r="Y133">
        <v>61.18</v>
      </c>
      <c r="Z133">
        <v>2.3199999999999998</v>
      </c>
      <c r="AB133">
        <v>179280000</v>
      </c>
      <c r="AC133">
        <v>69596496</v>
      </c>
      <c r="AD133">
        <v>179280000</v>
      </c>
      <c r="AE133">
        <v>69596496</v>
      </c>
      <c r="AG133">
        <v>97.68</v>
      </c>
      <c r="AH133">
        <v>38.82</v>
      </c>
      <c r="AI133">
        <v>1</v>
      </c>
      <c r="AJ133">
        <v>2.516356</v>
      </c>
      <c r="AK133">
        <v>0.18590000000000001</v>
      </c>
      <c r="AL133">
        <v>13.92</v>
      </c>
      <c r="AM133">
        <v>13919</v>
      </c>
      <c r="AN133">
        <v>1.4871000000000001</v>
      </c>
      <c r="AO133">
        <v>30</v>
      </c>
      <c r="AP133">
        <v>21.87</v>
      </c>
      <c r="AQ133">
        <v>0.72</v>
      </c>
      <c r="AR133">
        <v>-5.93</v>
      </c>
      <c r="AS133">
        <v>1.98</v>
      </c>
      <c r="AT133">
        <v>22.81</v>
      </c>
      <c r="AU133">
        <v>6666.69</v>
      </c>
      <c r="AV133">
        <v>35.81</v>
      </c>
      <c r="AW133">
        <v>16.59</v>
      </c>
      <c r="AX133">
        <v>14.49</v>
      </c>
      <c r="AY133">
        <v>15.370106</v>
      </c>
      <c r="AZ133">
        <v>86.592579999999998</v>
      </c>
      <c r="BA133">
        <v>-16.297633999999999</v>
      </c>
      <c r="BB133">
        <v>-1.6948019999999999</v>
      </c>
      <c r="BC133">
        <v>16.297633999999999</v>
      </c>
      <c r="BD133">
        <v>23.235626</v>
      </c>
      <c r="BE133">
        <v>170.20307</v>
      </c>
      <c r="BF133">
        <v>-12.794126</v>
      </c>
      <c r="BG133">
        <v>4.3796580000000001</v>
      </c>
      <c r="BH133">
        <v>12.794126</v>
      </c>
    </row>
    <row r="134" spans="1:60" x14ac:dyDescent="0.25">
      <c r="A134" t="s">
        <v>325</v>
      </c>
      <c r="B134" t="s">
        <v>326</v>
      </c>
      <c r="C134">
        <v>10</v>
      </c>
      <c r="D134" t="s">
        <v>314</v>
      </c>
      <c r="E134" cm="1">
        <f t="array" ref="E134">_xlfn.SWITCH(D134,"QPSK",0.1,"16QAM",0.25,"64QAM",0.5,"256QAM",0.8,"1024QAM",1,"")</f>
        <v>0.5</v>
      </c>
      <c r="F134" cm="1">
        <f t="array" ref="F134">_xlfn.SWITCH(D134,"QPSK",0.05,"16QAM",0.15,"64QAM",0.4,"256QAM",0.75,"1024QAM",1,"")</f>
        <v>0.4</v>
      </c>
      <c r="G134" t="s">
        <v>60</v>
      </c>
      <c r="H134">
        <v>4</v>
      </c>
      <c r="I134" t="s">
        <v>61</v>
      </c>
      <c r="J134">
        <v>2</v>
      </c>
      <c r="K134">
        <v>2</v>
      </c>
      <c r="L134" t="s">
        <v>62</v>
      </c>
      <c r="M134">
        <v>2</v>
      </c>
      <c r="N134">
        <v>0.47849999999999998</v>
      </c>
      <c r="O134">
        <v>0.4788</v>
      </c>
      <c r="P134">
        <v>5000</v>
      </c>
      <c r="Q134">
        <v>1982</v>
      </c>
      <c r="R134">
        <v>3018</v>
      </c>
      <c r="S134">
        <v>2.52</v>
      </c>
      <c r="T134">
        <v>1.52</v>
      </c>
      <c r="W134">
        <v>1933</v>
      </c>
      <c r="X134">
        <v>0</v>
      </c>
      <c r="Y134">
        <v>61.34</v>
      </c>
      <c r="Z134">
        <v>2.4700000000000002</v>
      </c>
      <c r="AB134">
        <v>179280000</v>
      </c>
      <c r="AC134">
        <v>69309648</v>
      </c>
      <c r="AD134">
        <v>179280000</v>
      </c>
      <c r="AE134">
        <v>69309648</v>
      </c>
      <c r="AG134">
        <v>97.53</v>
      </c>
      <c r="AH134">
        <v>38.659999999999997</v>
      </c>
      <c r="AI134">
        <v>1</v>
      </c>
      <c r="AJ134">
        <v>2.5227040000000001</v>
      </c>
      <c r="AK134">
        <v>0.18509999999999999</v>
      </c>
      <c r="AL134">
        <v>13.86</v>
      </c>
      <c r="AM134">
        <v>13862</v>
      </c>
      <c r="AN134">
        <v>1.4810000000000001</v>
      </c>
      <c r="AO134">
        <v>30</v>
      </c>
      <c r="AP134">
        <v>21.87</v>
      </c>
      <c r="AQ134">
        <v>0.72</v>
      </c>
      <c r="AR134">
        <v>-5.93</v>
      </c>
      <c r="AS134">
        <v>1.98</v>
      </c>
      <c r="AT134">
        <v>22.61</v>
      </c>
      <c r="AU134">
        <v>6666.69</v>
      </c>
      <c r="AV134">
        <v>35.81</v>
      </c>
      <c r="AW134">
        <v>16.59</v>
      </c>
      <c r="AX134">
        <v>14.49</v>
      </c>
      <c r="AY134">
        <v>15.369526</v>
      </c>
      <c r="AZ134">
        <v>86.895374000000004</v>
      </c>
      <c r="BA134">
        <v>-16.298114000000002</v>
      </c>
      <c r="BB134">
        <v>-1.6826620000000001</v>
      </c>
      <c r="BC134">
        <v>16.298114000000002</v>
      </c>
      <c r="BD134">
        <v>23.226638000000001</v>
      </c>
      <c r="BE134">
        <v>170.53549799999999</v>
      </c>
      <c r="BF134">
        <v>-12.79696</v>
      </c>
      <c r="BG134">
        <v>4.3829019999999996</v>
      </c>
      <c r="BH134">
        <v>12.79696</v>
      </c>
    </row>
    <row r="135" spans="1:60" x14ac:dyDescent="0.25">
      <c r="A135" t="s">
        <v>327</v>
      </c>
      <c r="B135" t="s">
        <v>328</v>
      </c>
      <c r="C135">
        <v>10</v>
      </c>
      <c r="D135" t="s">
        <v>314</v>
      </c>
      <c r="E135" cm="1">
        <f t="array" ref="E135">_xlfn.SWITCH(D135,"QPSK",0.1,"16QAM",0.25,"64QAM",0.5,"256QAM",0.8,"1024QAM",1,"")</f>
        <v>0.5</v>
      </c>
      <c r="F135" cm="1">
        <f t="array" ref="F135">_xlfn.SWITCH(D135,"QPSK",0.05,"16QAM",0.15,"64QAM",0.4,"256QAM",0.75,"1024QAM",1,"")</f>
        <v>0.4</v>
      </c>
      <c r="G135" t="s">
        <v>60</v>
      </c>
      <c r="H135">
        <v>8</v>
      </c>
      <c r="I135" t="s">
        <v>61</v>
      </c>
      <c r="J135">
        <v>2</v>
      </c>
      <c r="K135">
        <v>2</v>
      </c>
      <c r="L135" t="s">
        <v>62</v>
      </c>
      <c r="M135">
        <v>2</v>
      </c>
      <c r="N135">
        <v>0.47849999999999998</v>
      </c>
      <c r="O135">
        <v>0.4788</v>
      </c>
      <c r="P135">
        <v>5000</v>
      </c>
      <c r="Q135">
        <v>1969</v>
      </c>
      <c r="R135">
        <v>3031</v>
      </c>
      <c r="S135">
        <v>2.54</v>
      </c>
      <c r="T135">
        <v>1.54</v>
      </c>
      <c r="W135">
        <v>1929</v>
      </c>
      <c r="X135">
        <v>0</v>
      </c>
      <c r="Y135">
        <v>61.42</v>
      </c>
      <c r="Z135">
        <v>2.0299999999999998</v>
      </c>
      <c r="AB135">
        <v>179280000</v>
      </c>
      <c r="AC135">
        <v>69166224</v>
      </c>
      <c r="AD135">
        <v>179280000</v>
      </c>
      <c r="AE135">
        <v>69166224</v>
      </c>
      <c r="AG135">
        <v>97.97</v>
      </c>
      <c r="AH135">
        <v>38.58</v>
      </c>
      <c r="AI135">
        <v>1</v>
      </c>
      <c r="AJ135">
        <v>2.5393599999999998</v>
      </c>
      <c r="AK135">
        <v>0.1847</v>
      </c>
      <c r="AL135">
        <v>13.83</v>
      </c>
      <c r="AM135">
        <v>13833</v>
      </c>
      <c r="AN135">
        <v>1.4779</v>
      </c>
      <c r="AO135">
        <v>30</v>
      </c>
      <c r="AP135">
        <v>21.87</v>
      </c>
      <c r="AQ135">
        <v>0.72</v>
      </c>
      <c r="AR135">
        <v>-5.93</v>
      </c>
      <c r="AS135">
        <v>1.98</v>
      </c>
      <c r="AT135">
        <v>23.04</v>
      </c>
      <c r="AU135">
        <v>6666.69</v>
      </c>
      <c r="AV135">
        <v>35.81</v>
      </c>
      <c r="AW135">
        <v>16.59</v>
      </c>
      <c r="AX135">
        <v>14.49</v>
      </c>
      <c r="AY135">
        <v>15.367562</v>
      </c>
      <c r="AZ135">
        <v>86.662260000000003</v>
      </c>
      <c r="BA135">
        <v>-16.298794000000001</v>
      </c>
      <c r="BB135">
        <v>-1.691656</v>
      </c>
      <c r="BC135">
        <v>16.298794000000001</v>
      </c>
      <c r="BD135">
        <v>23.235326000000001</v>
      </c>
      <c r="BE135">
        <v>169.62598600000001</v>
      </c>
      <c r="BF135">
        <v>-12.794774</v>
      </c>
      <c r="BG135">
        <v>4.3403580000000002</v>
      </c>
      <c r="BH135">
        <v>12.794774</v>
      </c>
    </row>
    <row r="136" spans="1:60" x14ac:dyDescent="0.25">
      <c r="A136" t="s">
        <v>329</v>
      </c>
      <c r="B136" t="s">
        <v>330</v>
      </c>
      <c r="C136">
        <v>10</v>
      </c>
      <c r="D136" t="s">
        <v>314</v>
      </c>
      <c r="E136" cm="1">
        <f t="array" ref="E136">_xlfn.SWITCH(D136,"QPSK",0.1,"16QAM",0.25,"64QAM",0.5,"256QAM",0.8,"1024QAM",1,"")</f>
        <v>0.5</v>
      </c>
      <c r="F136" cm="1">
        <f t="array" ref="F136">_xlfn.SWITCH(D136,"QPSK",0.05,"16QAM",0.15,"64QAM",0.4,"256QAM",0.75,"1024QAM",1,"")</f>
        <v>0.4</v>
      </c>
      <c r="G136" t="s">
        <v>60</v>
      </c>
      <c r="H136">
        <v>8</v>
      </c>
      <c r="I136" t="s">
        <v>61</v>
      </c>
      <c r="J136">
        <v>2</v>
      </c>
      <c r="K136">
        <v>2</v>
      </c>
      <c r="L136" t="s">
        <v>62</v>
      </c>
      <c r="M136">
        <v>2</v>
      </c>
      <c r="N136">
        <v>0.47849999999999998</v>
      </c>
      <c r="O136">
        <v>0.4788</v>
      </c>
      <c r="P136">
        <v>5000</v>
      </c>
      <c r="Q136">
        <v>1967</v>
      </c>
      <c r="R136">
        <v>3033</v>
      </c>
      <c r="S136">
        <v>2.54</v>
      </c>
      <c r="T136">
        <v>1.54</v>
      </c>
      <c r="W136">
        <v>1925</v>
      </c>
      <c r="X136">
        <v>0</v>
      </c>
      <c r="Y136">
        <v>61.5</v>
      </c>
      <c r="Z136">
        <v>2.14</v>
      </c>
      <c r="AB136">
        <v>179280000</v>
      </c>
      <c r="AC136">
        <v>69022800</v>
      </c>
      <c r="AD136">
        <v>179280000</v>
      </c>
      <c r="AE136">
        <v>69022800</v>
      </c>
      <c r="AG136">
        <v>97.86</v>
      </c>
      <c r="AH136">
        <v>38.5</v>
      </c>
      <c r="AI136">
        <v>1</v>
      </c>
      <c r="AJ136">
        <v>2.5419420000000001</v>
      </c>
      <c r="AK136">
        <v>0.18440000000000001</v>
      </c>
      <c r="AL136">
        <v>13.8</v>
      </c>
      <c r="AM136">
        <v>13805</v>
      </c>
      <c r="AN136">
        <v>1.4748000000000001</v>
      </c>
      <c r="AO136">
        <v>30</v>
      </c>
      <c r="AP136">
        <v>21.87</v>
      </c>
      <c r="AQ136">
        <v>0.72</v>
      </c>
      <c r="AR136">
        <v>-5.93</v>
      </c>
      <c r="AS136">
        <v>1.98</v>
      </c>
      <c r="AT136">
        <v>22.61</v>
      </c>
      <c r="AU136">
        <v>6666.69</v>
      </c>
      <c r="AV136">
        <v>35.81</v>
      </c>
      <c r="AW136">
        <v>16.59</v>
      </c>
      <c r="AX136">
        <v>14.49</v>
      </c>
      <c r="AY136">
        <v>15.37265</v>
      </c>
      <c r="AZ136">
        <v>86.978414000000001</v>
      </c>
      <c r="BA136">
        <v>-16.296332</v>
      </c>
      <c r="BB136">
        <v>-1.6577660000000001</v>
      </c>
      <c r="BC136">
        <v>16.296332</v>
      </c>
      <c r="BD136">
        <v>23.233426000000001</v>
      </c>
      <c r="BE136">
        <v>169.71393599999999</v>
      </c>
      <c r="BF136">
        <v>-12.794224</v>
      </c>
      <c r="BG136">
        <v>4.3440940000000001</v>
      </c>
      <c r="BH136">
        <v>12.794224</v>
      </c>
    </row>
    <row r="137" spans="1:60" x14ac:dyDescent="0.25">
      <c r="A137" t="s">
        <v>331</v>
      </c>
      <c r="B137" t="s">
        <v>332</v>
      </c>
      <c r="C137">
        <v>12</v>
      </c>
      <c r="D137" t="s">
        <v>314</v>
      </c>
      <c r="E137" cm="1">
        <f t="array" ref="E137">_xlfn.SWITCH(D137,"QPSK",0.1,"16QAM",0.25,"64QAM",0.5,"256QAM",0.8,"1024QAM",1,"")</f>
        <v>0.5</v>
      </c>
      <c r="F137" cm="1">
        <f t="array" ref="F137">_xlfn.SWITCH(D137,"QPSK",0.05,"16QAM",0.15,"64QAM",0.4,"256QAM",0.75,"1024QAM",1,"")</f>
        <v>0.4</v>
      </c>
      <c r="G137" t="s">
        <v>60</v>
      </c>
      <c r="H137">
        <v>1</v>
      </c>
      <c r="I137" t="s">
        <v>61</v>
      </c>
      <c r="J137">
        <v>2</v>
      </c>
      <c r="K137">
        <v>2</v>
      </c>
      <c r="L137" t="s">
        <v>62</v>
      </c>
      <c r="M137">
        <v>2</v>
      </c>
      <c r="N137">
        <v>0.47849999999999998</v>
      </c>
      <c r="O137">
        <v>0.4788</v>
      </c>
      <c r="P137">
        <v>5000</v>
      </c>
      <c r="Q137">
        <v>2240</v>
      </c>
      <c r="R137">
        <v>2760</v>
      </c>
      <c r="S137">
        <v>2.23</v>
      </c>
      <c r="T137">
        <v>1.23</v>
      </c>
      <c r="W137">
        <v>2235</v>
      </c>
      <c r="X137">
        <v>0</v>
      </c>
      <c r="Y137">
        <v>55.3</v>
      </c>
      <c r="Z137">
        <v>0.22</v>
      </c>
      <c r="AB137">
        <v>179280000</v>
      </c>
      <c r="AC137">
        <v>80138160</v>
      </c>
      <c r="AD137">
        <v>179280000</v>
      </c>
      <c r="AE137">
        <v>80138160</v>
      </c>
      <c r="AG137">
        <v>99.78</v>
      </c>
      <c r="AH137">
        <v>44.7</v>
      </c>
      <c r="AI137">
        <v>1</v>
      </c>
      <c r="AJ137">
        <v>2.2321430000000002</v>
      </c>
      <c r="AK137">
        <v>0.214</v>
      </c>
      <c r="AL137">
        <v>16.03</v>
      </c>
      <c r="AM137">
        <v>16028</v>
      </c>
      <c r="AN137">
        <v>1.7123999999999999</v>
      </c>
      <c r="AO137">
        <v>30</v>
      </c>
      <c r="AP137">
        <v>21.87</v>
      </c>
      <c r="AQ137">
        <v>0.72</v>
      </c>
      <c r="AR137">
        <v>-5.93</v>
      </c>
      <c r="AS137">
        <v>1.97</v>
      </c>
      <c r="AT137">
        <v>22.33</v>
      </c>
      <c r="AU137">
        <v>6666.69</v>
      </c>
      <c r="AV137">
        <v>35.81</v>
      </c>
      <c r="AW137">
        <v>16.86</v>
      </c>
      <c r="AX137">
        <v>14.66</v>
      </c>
      <c r="AY137">
        <v>14.68567</v>
      </c>
      <c r="AZ137">
        <v>86.952532000000005</v>
      </c>
      <c r="BA137">
        <v>-16.695551999999999</v>
      </c>
      <c r="BB137">
        <v>-1.802632</v>
      </c>
      <c r="BC137">
        <v>16.695551999999999</v>
      </c>
      <c r="BD137">
        <v>22.02985</v>
      </c>
      <c r="BE137">
        <v>168.37152599999999</v>
      </c>
      <c r="BF137">
        <v>-13.241614</v>
      </c>
      <c r="BG137">
        <v>4.3259420000000004</v>
      </c>
      <c r="BH137">
        <v>13.241614</v>
      </c>
    </row>
    <row r="138" spans="1:60" x14ac:dyDescent="0.25">
      <c r="A138" t="s">
        <v>333</v>
      </c>
      <c r="B138" t="s">
        <v>334</v>
      </c>
      <c r="C138">
        <v>12</v>
      </c>
      <c r="D138" t="s">
        <v>314</v>
      </c>
      <c r="E138" cm="1">
        <f t="array" ref="E138">_xlfn.SWITCH(D138,"QPSK",0.1,"16QAM",0.25,"64QAM",0.5,"256QAM",0.8,"1024QAM",1,"")</f>
        <v>0.5</v>
      </c>
      <c r="F138" cm="1">
        <f t="array" ref="F138">_xlfn.SWITCH(D138,"QPSK",0.05,"16QAM",0.15,"64QAM",0.4,"256QAM",0.75,"1024QAM",1,"")</f>
        <v>0.4</v>
      </c>
      <c r="G138" t="s">
        <v>60</v>
      </c>
      <c r="H138">
        <v>4</v>
      </c>
      <c r="I138" t="s">
        <v>61</v>
      </c>
      <c r="J138">
        <v>2</v>
      </c>
      <c r="K138">
        <v>2</v>
      </c>
      <c r="L138" t="s">
        <v>62</v>
      </c>
      <c r="M138">
        <v>2</v>
      </c>
      <c r="N138">
        <v>0.47849999999999998</v>
      </c>
      <c r="O138">
        <v>0.4788</v>
      </c>
      <c r="P138">
        <v>5000</v>
      </c>
      <c r="Q138">
        <v>2226</v>
      </c>
      <c r="R138">
        <v>2774</v>
      </c>
      <c r="S138">
        <v>2.25</v>
      </c>
      <c r="T138">
        <v>1.25</v>
      </c>
      <c r="W138">
        <v>2223</v>
      </c>
      <c r="X138">
        <v>0</v>
      </c>
      <c r="Y138">
        <v>55.54</v>
      </c>
      <c r="Z138">
        <v>0.13</v>
      </c>
      <c r="AB138">
        <v>179280000</v>
      </c>
      <c r="AC138">
        <v>79707888</v>
      </c>
      <c r="AD138">
        <v>179280000</v>
      </c>
      <c r="AE138">
        <v>79707888</v>
      </c>
      <c r="AG138">
        <v>99.87</v>
      </c>
      <c r="AH138">
        <v>44.46</v>
      </c>
      <c r="AI138">
        <v>1</v>
      </c>
      <c r="AJ138">
        <v>2.246181</v>
      </c>
      <c r="AK138">
        <v>0.21290000000000001</v>
      </c>
      <c r="AL138">
        <v>15.94</v>
      </c>
      <c r="AM138">
        <v>15942</v>
      </c>
      <c r="AN138">
        <v>1.7032</v>
      </c>
      <c r="AO138">
        <v>30</v>
      </c>
      <c r="AP138">
        <v>21.87</v>
      </c>
      <c r="AQ138">
        <v>0.72</v>
      </c>
      <c r="AR138">
        <v>-5.93</v>
      </c>
      <c r="AS138">
        <v>1.98</v>
      </c>
      <c r="AT138">
        <v>22.69</v>
      </c>
      <c r="AU138">
        <v>6666.69</v>
      </c>
      <c r="AV138">
        <v>35.81</v>
      </c>
      <c r="AW138">
        <v>16.87</v>
      </c>
      <c r="AX138">
        <v>14.66</v>
      </c>
      <c r="AY138">
        <v>14.682544</v>
      </c>
      <c r="AZ138">
        <v>86.779594000000003</v>
      </c>
      <c r="BA138">
        <v>-16.697510000000001</v>
      </c>
      <c r="BB138">
        <v>-1.825828</v>
      </c>
      <c r="BC138">
        <v>16.697510000000001</v>
      </c>
      <c r="BD138">
        <v>22.031316</v>
      </c>
      <c r="BE138">
        <v>168.09208599999999</v>
      </c>
      <c r="BF138">
        <v>-13.240311999999999</v>
      </c>
      <c r="BG138">
        <v>4.3078479999999999</v>
      </c>
      <c r="BH138">
        <v>13.240311999999999</v>
      </c>
    </row>
    <row r="139" spans="1:60" x14ac:dyDescent="0.25">
      <c r="A139" t="s">
        <v>335</v>
      </c>
      <c r="B139" t="s">
        <v>336</v>
      </c>
      <c r="C139">
        <v>12</v>
      </c>
      <c r="D139" t="s">
        <v>314</v>
      </c>
      <c r="E139" cm="1">
        <f t="array" ref="E139">_xlfn.SWITCH(D139,"QPSK",0.1,"16QAM",0.25,"64QAM",0.5,"256QAM",0.8,"1024QAM",1,"")</f>
        <v>0.5</v>
      </c>
      <c r="F139" cm="1">
        <f t="array" ref="F139">_xlfn.SWITCH(D139,"QPSK",0.05,"16QAM",0.15,"64QAM",0.4,"256QAM",0.75,"1024QAM",1,"")</f>
        <v>0.4</v>
      </c>
      <c r="G139" t="s">
        <v>60</v>
      </c>
      <c r="H139">
        <v>8</v>
      </c>
      <c r="I139" t="s">
        <v>61</v>
      </c>
      <c r="J139">
        <v>2</v>
      </c>
      <c r="K139">
        <v>2</v>
      </c>
      <c r="L139" t="s">
        <v>62</v>
      </c>
      <c r="M139">
        <v>2</v>
      </c>
      <c r="N139">
        <v>0.47849999999999998</v>
      </c>
      <c r="O139">
        <v>0.4788</v>
      </c>
      <c r="P139">
        <v>5000</v>
      </c>
      <c r="Q139">
        <v>2226</v>
      </c>
      <c r="R139">
        <v>2774</v>
      </c>
      <c r="S139">
        <v>2.25</v>
      </c>
      <c r="T139">
        <v>1.25</v>
      </c>
      <c r="W139">
        <v>2221</v>
      </c>
      <c r="X139">
        <v>0</v>
      </c>
      <c r="Y139">
        <v>55.58</v>
      </c>
      <c r="Z139">
        <v>0.22</v>
      </c>
      <c r="AB139">
        <v>179280000</v>
      </c>
      <c r="AC139">
        <v>79636176</v>
      </c>
      <c r="AD139">
        <v>179280000</v>
      </c>
      <c r="AE139">
        <v>79636176</v>
      </c>
      <c r="AG139">
        <v>99.78</v>
      </c>
      <c r="AH139">
        <v>44.42</v>
      </c>
      <c r="AI139">
        <v>1</v>
      </c>
      <c r="AJ139">
        <v>2.246181</v>
      </c>
      <c r="AK139">
        <v>0.2127</v>
      </c>
      <c r="AL139">
        <v>15.93</v>
      </c>
      <c r="AM139">
        <v>15927</v>
      </c>
      <c r="AN139">
        <v>1.7016</v>
      </c>
      <c r="AO139">
        <v>30</v>
      </c>
      <c r="AP139">
        <v>21.87</v>
      </c>
      <c r="AQ139">
        <v>0.72</v>
      </c>
      <c r="AR139">
        <v>-5.93</v>
      </c>
      <c r="AS139">
        <v>1.97</v>
      </c>
      <c r="AT139">
        <v>22.6</v>
      </c>
      <c r="AU139">
        <v>6666.69</v>
      </c>
      <c r="AV139">
        <v>35.81</v>
      </c>
      <c r="AW139">
        <v>16.87</v>
      </c>
      <c r="AX139">
        <v>14.67</v>
      </c>
      <c r="AY139">
        <v>14.67731</v>
      </c>
      <c r="AZ139">
        <v>86.345792000000003</v>
      </c>
      <c r="BA139">
        <v>-16.700230000000001</v>
      </c>
      <c r="BB139">
        <v>-1.8565179999999999</v>
      </c>
      <c r="BC139">
        <v>16.700230000000001</v>
      </c>
      <c r="BD139">
        <v>22.020845999999999</v>
      </c>
      <c r="BE139">
        <v>167.98802000000001</v>
      </c>
      <c r="BF139">
        <v>-13.244973999999999</v>
      </c>
      <c r="BG139">
        <v>4.2996480000000004</v>
      </c>
      <c r="BH139">
        <v>13.244973999999999</v>
      </c>
    </row>
    <row r="140" spans="1:60" x14ac:dyDescent="0.25">
      <c r="A140" t="s">
        <v>337</v>
      </c>
      <c r="B140" t="s">
        <v>338</v>
      </c>
      <c r="C140">
        <v>14</v>
      </c>
      <c r="D140" t="s">
        <v>314</v>
      </c>
      <c r="E140" cm="1">
        <f t="array" ref="E140">_xlfn.SWITCH(D140,"QPSK",0.1,"16QAM",0.25,"64QAM",0.5,"256QAM",0.8,"1024QAM",1,"")</f>
        <v>0.5</v>
      </c>
      <c r="F140" cm="1">
        <f t="array" ref="F140">_xlfn.SWITCH(D140,"QPSK",0.05,"16QAM",0.15,"64QAM",0.4,"256QAM",0.75,"1024QAM",1,"")</f>
        <v>0.4</v>
      </c>
      <c r="G140" t="s">
        <v>60</v>
      </c>
      <c r="H140">
        <v>1</v>
      </c>
      <c r="I140" t="s">
        <v>61</v>
      </c>
      <c r="J140">
        <v>2</v>
      </c>
      <c r="K140">
        <v>2</v>
      </c>
      <c r="L140" t="s">
        <v>62</v>
      </c>
      <c r="M140">
        <v>2</v>
      </c>
      <c r="N140">
        <v>0.47849999999999998</v>
      </c>
      <c r="O140">
        <v>0.4788</v>
      </c>
      <c r="P140">
        <v>5000</v>
      </c>
      <c r="Q140">
        <v>2481</v>
      </c>
      <c r="R140">
        <v>2519</v>
      </c>
      <c r="S140">
        <v>2.02</v>
      </c>
      <c r="T140">
        <v>1.02</v>
      </c>
      <c r="W140">
        <v>2481</v>
      </c>
      <c r="X140">
        <v>0</v>
      </c>
      <c r="Y140">
        <v>50.38</v>
      </c>
      <c r="Z140">
        <v>0</v>
      </c>
      <c r="AB140">
        <v>179280000</v>
      </c>
      <c r="AC140">
        <v>88958736</v>
      </c>
      <c r="AD140">
        <v>179280000</v>
      </c>
      <c r="AE140">
        <v>88958736</v>
      </c>
      <c r="AG140">
        <v>100</v>
      </c>
      <c r="AH140">
        <v>49.62</v>
      </c>
      <c r="AI140">
        <v>1</v>
      </c>
      <c r="AJ140">
        <v>2.0153159999999999</v>
      </c>
      <c r="AK140">
        <v>0.23760000000000001</v>
      </c>
      <c r="AL140">
        <v>17.79</v>
      </c>
      <c r="AM140">
        <v>17792</v>
      </c>
      <c r="AN140">
        <v>1.9008</v>
      </c>
      <c r="AO140">
        <v>30</v>
      </c>
      <c r="AP140">
        <v>21.87</v>
      </c>
      <c r="AQ140">
        <v>0.72</v>
      </c>
      <c r="AR140">
        <v>-5.94</v>
      </c>
      <c r="AS140">
        <v>1.96</v>
      </c>
      <c r="AT140">
        <v>22.57</v>
      </c>
      <c r="AU140">
        <v>6666.69</v>
      </c>
      <c r="AV140">
        <v>35.81</v>
      </c>
      <c r="AW140">
        <v>17.32</v>
      </c>
      <c r="AX140">
        <v>14.89</v>
      </c>
      <c r="AY140">
        <v>13.826131999999999</v>
      </c>
      <c r="AZ140">
        <v>80.983934000000005</v>
      </c>
      <c r="BA140">
        <v>-17.224926</v>
      </c>
      <c r="BB140">
        <v>-2.437694</v>
      </c>
      <c r="BC140">
        <v>17.224926</v>
      </c>
      <c r="BD140">
        <v>20.704571999999999</v>
      </c>
      <c r="BE140">
        <v>164.372106</v>
      </c>
      <c r="BF140">
        <v>-13.777010000000001</v>
      </c>
      <c r="BG140">
        <v>4.1147179999999999</v>
      </c>
      <c r="BH140">
        <v>13.777010000000001</v>
      </c>
    </row>
    <row r="141" spans="1:60" x14ac:dyDescent="0.25">
      <c r="A141" t="s">
        <v>339</v>
      </c>
      <c r="B141" t="s">
        <v>340</v>
      </c>
      <c r="C141">
        <v>14</v>
      </c>
      <c r="D141" t="s">
        <v>314</v>
      </c>
      <c r="E141" cm="1">
        <f t="array" ref="E141">_xlfn.SWITCH(D141,"QPSK",0.1,"16QAM",0.25,"64QAM",0.5,"256QAM",0.8,"1024QAM",1,"")</f>
        <v>0.5</v>
      </c>
      <c r="F141" cm="1">
        <f t="array" ref="F141">_xlfn.SWITCH(D141,"QPSK",0.05,"16QAM",0.15,"64QAM",0.4,"256QAM",0.75,"1024QAM",1,"")</f>
        <v>0.4</v>
      </c>
      <c r="G141" t="s">
        <v>60</v>
      </c>
      <c r="H141">
        <v>4</v>
      </c>
      <c r="I141" t="s">
        <v>61</v>
      </c>
      <c r="J141">
        <v>2</v>
      </c>
      <c r="K141">
        <v>2</v>
      </c>
      <c r="L141" t="s">
        <v>62</v>
      </c>
      <c r="M141">
        <v>2</v>
      </c>
      <c r="N141">
        <v>0.47849999999999998</v>
      </c>
      <c r="O141">
        <v>0.4788</v>
      </c>
      <c r="P141">
        <v>5000</v>
      </c>
      <c r="Q141">
        <v>2480</v>
      </c>
      <c r="R141">
        <v>2520</v>
      </c>
      <c r="S141">
        <v>2.02</v>
      </c>
      <c r="T141">
        <v>1.02</v>
      </c>
      <c r="W141">
        <v>2477</v>
      </c>
      <c r="X141">
        <v>0</v>
      </c>
      <c r="Y141">
        <v>50.46</v>
      </c>
      <c r="Z141">
        <v>0.12</v>
      </c>
      <c r="AB141">
        <v>179280000</v>
      </c>
      <c r="AC141">
        <v>88815312</v>
      </c>
      <c r="AD141">
        <v>179280000</v>
      </c>
      <c r="AE141">
        <v>88815312</v>
      </c>
      <c r="AG141">
        <v>99.88</v>
      </c>
      <c r="AH141">
        <v>49.54</v>
      </c>
      <c r="AI141">
        <v>1</v>
      </c>
      <c r="AJ141">
        <v>2.0161289999999998</v>
      </c>
      <c r="AK141">
        <v>0.23719999999999999</v>
      </c>
      <c r="AL141">
        <v>17.760000000000002</v>
      </c>
      <c r="AM141">
        <v>17763</v>
      </c>
      <c r="AN141">
        <v>1.8977999999999999</v>
      </c>
      <c r="AO141">
        <v>30</v>
      </c>
      <c r="AP141">
        <v>21.87</v>
      </c>
      <c r="AQ141">
        <v>0.72</v>
      </c>
      <c r="AR141">
        <v>-5.94</v>
      </c>
      <c r="AS141">
        <v>1.96</v>
      </c>
      <c r="AT141">
        <v>22.72</v>
      </c>
      <c r="AU141">
        <v>6666.69</v>
      </c>
      <c r="AV141">
        <v>35.81</v>
      </c>
      <c r="AW141">
        <v>17.309999999999999</v>
      </c>
      <c r="AX141">
        <v>14.88</v>
      </c>
      <c r="AY141">
        <v>13.833276</v>
      </c>
      <c r="AZ141">
        <v>80.707042000000001</v>
      </c>
      <c r="BA141">
        <v>-17.220500000000001</v>
      </c>
      <c r="BB141">
        <v>-2.4416880000000001</v>
      </c>
      <c r="BC141">
        <v>17.220500000000001</v>
      </c>
      <c r="BD141">
        <v>20.712418</v>
      </c>
      <c r="BE141">
        <v>164.95952600000001</v>
      </c>
      <c r="BF141">
        <v>-13.773382</v>
      </c>
      <c r="BG141">
        <v>4.1408620000000003</v>
      </c>
      <c r="BH141">
        <v>13.773382</v>
      </c>
    </row>
    <row r="142" spans="1:60" x14ac:dyDescent="0.25">
      <c r="A142" t="s">
        <v>341</v>
      </c>
      <c r="B142" t="s">
        <v>342</v>
      </c>
      <c r="C142">
        <v>14</v>
      </c>
      <c r="D142" t="s">
        <v>314</v>
      </c>
      <c r="E142" cm="1">
        <f t="array" ref="E142">_xlfn.SWITCH(D142,"QPSK",0.1,"16QAM",0.25,"64QAM",0.5,"256QAM",0.8,"1024QAM",1,"")</f>
        <v>0.5</v>
      </c>
      <c r="F142" cm="1">
        <f t="array" ref="F142">_xlfn.SWITCH(D142,"QPSK",0.05,"16QAM",0.15,"64QAM",0.4,"256QAM",0.75,"1024QAM",1,"")</f>
        <v>0.4</v>
      </c>
      <c r="G142" t="s">
        <v>60</v>
      </c>
      <c r="H142">
        <v>8</v>
      </c>
      <c r="I142" t="s">
        <v>61</v>
      </c>
      <c r="J142">
        <v>2</v>
      </c>
      <c r="K142">
        <v>2</v>
      </c>
      <c r="L142" t="s">
        <v>62</v>
      </c>
      <c r="M142">
        <v>2</v>
      </c>
      <c r="N142">
        <v>0.47849999999999998</v>
      </c>
      <c r="O142">
        <v>0.4788</v>
      </c>
      <c r="P142">
        <v>5000</v>
      </c>
      <c r="Q142">
        <v>2490</v>
      </c>
      <c r="R142">
        <v>2510</v>
      </c>
      <c r="S142">
        <v>2.0099999999999998</v>
      </c>
      <c r="T142">
        <v>1.01</v>
      </c>
      <c r="W142">
        <v>2486</v>
      </c>
      <c r="X142">
        <v>0</v>
      </c>
      <c r="Y142">
        <v>50.28</v>
      </c>
      <c r="Z142">
        <v>0.16</v>
      </c>
      <c r="AB142">
        <v>179280000</v>
      </c>
      <c r="AC142">
        <v>89138016</v>
      </c>
      <c r="AD142">
        <v>179280000</v>
      </c>
      <c r="AE142">
        <v>89138016</v>
      </c>
      <c r="AG142">
        <v>99.84</v>
      </c>
      <c r="AH142">
        <v>49.72</v>
      </c>
      <c r="AI142">
        <v>1</v>
      </c>
      <c r="AJ142">
        <v>2.008032</v>
      </c>
      <c r="AK142">
        <v>0.23810000000000001</v>
      </c>
      <c r="AL142">
        <v>17.829999999999998</v>
      </c>
      <c r="AM142">
        <v>17828</v>
      </c>
      <c r="AN142">
        <v>1.9047000000000001</v>
      </c>
      <c r="AO142">
        <v>30</v>
      </c>
      <c r="AP142">
        <v>21.87</v>
      </c>
      <c r="AQ142">
        <v>0.72</v>
      </c>
      <c r="AR142">
        <v>-5.94</v>
      </c>
      <c r="AS142">
        <v>1.96</v>
      </c>
      <c r="AT142">
        <v>22.5</v>
      </c>
      <c r="AU142">
        <v>6666.69</v>
      </c>
      <c r="AV142">
        <v>35.81</v>
      </c>
      <c r="AW142">
        <v>17.32</v>
      </c>
      <c r="AX142">
        <v>14.89</v>
      </c>
      <c r="AY142">
        <v>13.826231999999999</v>
      </c>
      <c r="AZ142">
        <v>80.854265999999996</v>
      </c>
      <c r="BA142">
        <v>-17.224726</v>
      </c>
      <c r="BB142">
        <v>-2.4308200000000002</v>
      </c>
      <c r="BC142">
        <v>17.224726</v>
      </c>
      <c r="BD142">
        <v>20.700652000000002</v>
      </c>
      <c r="BE142">
        <v>164.25164799999999</v>
      </c>
      <c r="BF142">
        <v>-13.778974</v>
      </c>
      <c r="BG142">
        <v>4.0992040000000003</v>
      </c>
      <c r="BH142">
        <v>13.778974</v>
      </c>
    </row>
    <row r="143" spans="1:60" x14ac:dyDescent="0.25">
      <c r="A143" t="s">
        <v>343</v>
      </c>
      <c r="B143" t="s">
        <v>344</v>
      </c>
      <c r="C143">
        <v>16</v>
      </c>
      <c r="D143" t="s">
        <v>314</v>
      </c>
      <c r="E143" cm="1">
        <f t="array" ref="E143">_xlfn.SWITCH(D143,"QPSK",0.1,"16QAM",0.25,"64QAM",0.5,"256QAM",0.8,"1024QAM",1,"")</f>
        <v>0.5</v>
      </c>
      <c r="F143" cm="1">
        <f t="array" ref="F143">_xlfn.SWITCH(D143,"QPSK",0.05,"16QAM",0.15,"64QAM",0.4,"256QAM",0.75,"1024QAM",1,"")</f>
        <v>0.4</v>
      </c>
      <c r="G143" t="s">
        <v>60</v>
      </c>
      <c r="H143">
        <v>1</v>
      </c>
      <c r="I143" t="s">
        <v>61</v>
      </c>
      <c r="J143">
        <v>2</v>
      </c>
      <c r="K143">
        <v>2</v>
      </c>
      <c r="L143" t="s">
        <v>62</v>
      </c>
      <c r="M143">
        <v>2</v>
      </c>
      <c r="N143">
        <v>0.47849999999999998</v>
      </c>
      <c r="O143">
        <v>0.4788</v>
      </c>
      <c r="P143">
        <v>5000</v>
      </c>
      <c r="Q143">
        <v>2847</v>
      </c>
      <c r="R143">
        <v>2153</v>
      </c>
      <c r="S143">
        <v>1.76</v>
      </c>
      <c r="T143">
        <v>0.76</v>
      </c>
      <c r="W143">
        <v>2847</v>
      </c>
      <c r="X143">
        <v>0</v>
      </c>
      <c r="Y143">
        <v>43.06</v>
      </c>
      <c r="Z143">
        <v>0</v>
      </c>
      <c r="AB143">
        <v>179280000</v>
      </c>
      <c r="AC143">
        <v>102082032</v>
      </c>
      <c r="AD143">
        <v>179280000</v>
      </c>
      <c r="AE143">
        <v>102082032</v>
      </c>
      <c r="AG143">
        <v>100</v>
      </c>
      <c r="AH143">
        <v>56.94</v>
      </c>
      <c r="AI143">
        <v>1</v>
      </c>
      <c r="AJ143">
        <v>1.756235</v>
      </c>
      <c r="AK143">
        <v>0.2727</v>
      </c>
      <c r="AL143">
        <v>20.420000000000002</v>
      </c>
      <c r="AM143">
        <v>20416</v>
      </c>
      <c r="AN143">
        <v>2.1812</v>
      </c>
      <c r="AO143">
        <v>30</v>
      </c>
      <c r="AP143">
        <v>21.87</v>
      </c>
      <c r="AQ143">
        <v>0.72</v>
      </c>
      <c r="AR143">
        <v>-5.95</v>
      </c>
      <c r="AS143">
        <v>1.95</v>
      </c>
      <c r="AT143">
        <v>22.66</v>
      </c>
      <c r="AU143">
        <v>6666.69</v>
      </c>
      <c r="AV143">
        <v>35.81</v>
      </c>
      <c r="AW143">
        <v>17.920000000000002</v>
      </c>
      <c r="AX143">
        <v>15.15</v>
      </c>
      <c r="AY143">
        <v>12.862736</v>
      </c>
      <c r="AZ143">
        <v>73.632677999999999</v>
      </c>
      <c r="BA143">
        <v>-17.871469999999999</v>
      </c>
      <c r="BB143">
        <v>-3.232952</v>
      </c>
      <c r="BC143">
        <v>17.871469999999999</v>
      </c>
      <c r="BD143">
        <v>19.420908000000001</v>
      </c>
      <c r="BE143">
        <v>159.90723399999999</v>
      </c>
      <c r="BF143">
        <v>-14.339314</v>
      </c>
      <c r="BG143">
        <v>3.8266200000000001</v>
      </c>
      <c r="BH143">
        <v>14.339314</v>
      </c>
    </row>
    <row r="144" spans="1:60" x14ac:dyDescent="0.25">
      <c r="A144" t="s">
        <v>345</v>
      </c>
      <c r="B144" t="s">
        <v>346</v>
      </c>
      <c r="C144">
        <v>16</v>
      </c>
      <c r="D144" t="s">
        <v>314</v>
      </c>
      <c r="E144" cm="1">
        <f t="array" ref="E144">_xlfn.SWITCH(D144,"QPSK",0.1,"16QAM",0.25,"64QAM",0.5,"256QAM",0.8,"1024QAM",1,"")</f>
        <v>0.5</v>
      </c>
      <c r="F144" cm="1">
        <f t="array" ref="F144">_xlfn.SWITCH(D144,"QPSK",0.05,"16QAM",0.15,"64QAM",0.4,"256QAM",0.75,"1024QAM",1,"")</f>
        <v>0.4</v>
      </c>
      <c r="G144" t="s">
        <v>60</v>
      </c>
      <c r="H144">
        <v>4</v>
      </c>
      <c r="I144" t="s">
        <v>61</v>
      </c>
      <c r="J144">
        <v>2</v>
      </c>
      <c r="K144">
        <v>2</v>
      </c>
      <c r="L144" t="s">
        <v>62</v>
      </c>
      <c r="M144">
        <v>2</v>
      </c>
      <c r="N144">
        <v>0.47849999999999998</v>
      </c>
      <c r="O144">
        <v>0.4788</v>
      </c>
      <c r="P144">
        <v>5000</v>
      </c>
      <c r="Q144">
        <v>2822</v>
      </c>
      <c r="R144">
        <v>2178</v>
      </c>
      <c r="S144">
        <v>1.77</v>
      </c>
      <c r="T144">
        <v>0.77</v>
      </c>
      <c r="W144">
        <v>2822</v>
      </c>
      <c r="X144">
        <v>0</v>
      </c>
      <c r="Y144">
        <v>43.56</v>
      </c>
      <c r="Z144">
        <v>0</v>
      </c>
      <c r="AB144">
        <v>179280000</v>
      </c>
      <c r="AC144">
        <v>101185632</v>
      </c>
      <c r="AD144">
        <v>179280000</v>
      </c>
      <c r="AE144">
        <v>101185632</v>
      </c>
      <c r="AG144">
        <v>100</v>
      </c>
      <c r="AH144">
        <v>56.44</v>
      </c>
      <c r="AI144">
        <v>1</v>
      </c>
      <c r="AJ144">
        <v>1.771793</v>
      </c>
      <c r="AK144">
        <v>0.27029999999999998</v>
      </c>
      <c r="AL144">
        <v>20.239999999999998</v>
      </c>
      <c r="AM144">
        <v>20237</v>
      </c>
      <c r="AN144">
        <v>2.1621000000000001</v>
      </c>
      <c r="AO144">
        <v>30</v>
      </c>
      <c r="AP144">
        <v>21.87</v>
      </c>
      <c r="AQ144">
        <v>0.72</v>
      </c>
      <c r="AR144">
        <v>-5.95</v>
      </c>
      <c r="AS144">
        <v>1.95</v>
      </c>
      <c r="AT144">
        <v>22.65</v>
      </c>
      <c r="AU144">
        <v>6666.69</v>
      </c>
      <c r="AV144">
        <v>35.81</v>
      </c>
      <c r="AW144">
        <v>17.920000000000002</v>
      </c>
      <c r="AX144">
        <v>15.14</v>
      </c>
      <c r="AY144">
        <v>12.867051999999999</v>
      </c>
      <c r="AZ144">
        <v>73.759662000000006</v>
      </c>
      <c r="BA144">
        <v>-17.868525999999999</v>
      </c>
      <c r="BB144">
        <v>-3.2204760000000001</v>
      </c>
      <c r="BC144">
        <v>17.868525999999999</v>
      </c>
      <c r="BD144">
        <v>19.444403999999999</v>
      </c>
      <c r="BE144">
        <v>160.26254599999999</v>
      </c>
      <c r="BF144">
        <v>-14.328749999999999</v>
      </c>
      <c r="BG144">
        <v>3.842994</v>
      </c>
      <c r="BH144">
        <v>14.328749999999999</v>
      </c>
    </row>
    <row r="145" spans="1:60" x14ac:dyDescent="0.25">
      <c r="A145" t="s">
        <v>347</v>
      </c>
      <c r="B145" t="s">
        <v>348</v>
      </c>
      <c r="C145">
        <v>16</v>
      </c>
      <c r="D145" t="s">
        <v>314</v>
      </c>
      <c r="E145" cm="1">
        <f t="array" ref="E145">_xlfn.SWITCH(D145,"QPSK",0.1,"16QAM",0.25,"64QAM",0.5,"256QAM",0.8,"1024QAM",1,"")</f>
        <v>0.5</v>
      </c>
      <c r="F145" cm="1">
        <f t="array" ref="F145">_xlfn.SWITCH(D145,"QPSK",0.05,"16QAM",0.15,"64QAM",0.4,"256QAM",0.75,"1024QAM",1,"")</f>
        <v>0.4</v>
      </c>
      <c r="G145" t="s">
        <v>60</v>
      </c>
      <c r="H145">
        <v>8</v>
      </c>
      <c r="I145" t="s">
        <v>61</v>
      </c>
      <c r="J145">
        <v>2</v>
      </c>
      <c r="K145">
        <v>2</v>
      </c>
      <c r="L145" t="s">
        <v>62</v>
      </c>
      <c r="M145">
        <v>2</v>
      </c>
      <c r="N145">
        <v>0.47849999999999998</v>
      </c>
      <c r="O145">
        <v>0.4788</v>
      </c>
      <c r="P145">
        <v>5000</v>
      </c>
      <c r="Q145">
        <v>2807</v>
      </c>
      <c r="R145">
        <v>2193</v>
      </c>
      <c r="S145">
        <v>1.78</v>
      </c>
      <c r="T145">
        <v>0.78</v>
      </c>
      <c r="W145">
        <v>2807</v>
      </c>
      <c r="X145">
        <v>0</v>
      </c>
      <c r="Y145">
        <v>43.86</v>
      </c>
      <c r="Z145">
        <v>0</v>
      </c>
      <c r="AB145">
        <v>179280000</v>
      </c>
      <c r="AC145">
        <v>100647792</v>
      </c>
      <c r="AD145">
        <v>179280000</v>
      </c>
      <c r="AE145">
        <v>100647792</v>
      </c>
      <c r="AG145">
        <v>100</v>
      </c>
      <c r="AH145">
        <v>56.14</v>
      </c>
      <c r="AI145">
        <v>1</v>
      </c>
      <c r="AJ145">
        <v>1.781261</v>
      </c>
      <c r="AK145">
        <v>0.26879999999999998</v>
      </c>
      <c r="AL145">
        <v>20.13</v>
      </c>
      <c r="AM145">
        <v>20130</v>
      </c>
      <c r="AN145">
        <v>2.1505999999999998</v>
      </c>
      <c r="AO145">
        <v>30</v>
      </c>
      <c r="AP145">
        <v>21.87</v>
      </c>
      <c r="AQ145">
        <v>0.72</v>
      </c>
      <c r="AR145">
        <v>-5.95</v>
      </c>
      <c r="AS145">
        <v>1.95</v>
      </c>
      <c r="AT145">
        <v>22.45</v>
      </c>
      <c r="AU145">
        <v>6666.69</v>
      </c>
      <c r="AV145">
        <v>35.81</v>
      </c>
      <c r="AW145">
        <v>17.920000000000002</v>
      </c>
      <c r="AX145">
        <v>15.15</v>
      </c>
      <c r="AY145">
        <v>12.867148</v>
      </c>
      <c r="AZ145">
        <v>74.193432000000001</v>
      </c>
      <c r="BA145">
        <v>-17.868244000000001</v>
      </c>
      <c r="BB145">
        <v>-3.1714699999999998</v>
      </c>
      <c r="BC145">
        <v>17.868244000000001</v>
      </c>
      <c r="BD145">
        <v>19.427199999999999</v>
      </c>
      <c r="BE145">
        <v>161.01978199999999</v>
      </c>
      <c r="BF145">
        <v>-14.335944</v>
      </c>
      <c r="BG145">
        <v>3.8820939999999999</v>
      </c>
      <c r="BH145">
        <v>14.335944</v>
      </c>
    </row>
    <row r="146" spans="1:60" x14ac:dyDescent="0.25">
      <c r="A146" t="s">
        <v>349</v>
      </c>
      <c r="B146" t="s">
        <v>350</v>
      </c>
      <c r="C146">
        <v>18</v>
      </c>
      <c r="D146" t="s">
        <v>314</v>
      </c>
      <c r="E146" cm="1">
        <f t="array" ref="E146">_xlfn.SWITCH(D146,"QPSK",0.1,"16QAM",0.25,"64QAM",0.5,"256QAM",0.8,"1024QAM",1,"")</f>
        <v>0.5</v>
      </c>
      <c r="F146" cm="1">
        <f t="array" ref="F146">_xlfn.SWITCH(D146,"QPSK",0.05,"16QAM",0.15,"64QAM",0.4,"256QAM",0.75,"1024QAM",1,"")</f>
        <v>0.4</v>
      </c>
      <c r="G146" t="s">
        <v>60</v>
      </c>
      <c r="H146">
        <v>1</v>
      </c>
      <c r="I146" t="s">
        <v>61</v>
      </c>
      <c r="J146">
        <v>2</v>
      </c>
      <c r="K146">
        <v>2</v>
      </c>
      <c r="L146" t="s">
        <v>62</v>
      </c>
      <c r="M146">
        <v>2</v>
      </c>
      <c r="N146">
        <v>0.47849999999999998</v>
      </c>
      <c r="O146">
        <v>0.4788</v>
      </c>
      <c r="P146">
        <v>5000</v>
      </c>
      <c r="Q146">
        <v>3481</v>
      </c>
      <c r="R146">
        <v>1519</v>
      </c>
      <c r="S146">
        <v>1.44</v>
      </c>
      <c r="T146">
        <v>0.44</v>
      </c>
      <c r="W146">
        <v>3481</v>
      </c>
      <c r="X146">
        <v>0</v>
      </c>
      <c r="Y146">
        <v>30.38</v>
      </c>
      <c r="Z146">
        <v>0</v>
      </c>
      <c r="AB146">
        <v>179280000</v>
      </c>
      <c r="AC146">
        <v>124814736</v>
      </c>
      <c r="AD146">
        <v>179280000</v>
      </c>
      <c r="AE146">
        <v>124814736</v>
      </c>
      <c r="AG146">
        <v>100</v>
      </c>
      <c r="AH146">
        <v>69.62</v>
      </c>
      <c r="AI146">
        <v>1</v>
      </c>
      <c r="AJ146">
        <v>1.436369</v>
      </c>
      <c r="AK146">
        <v>0.33339999999999997</v>
      </c>
      <c r="AL146">
        <v>24.96</v>
      </c>
      <c r="AM146">
        <v>24963</v>
      </c>
      <c r="AN146">
        <v>2.6669999999999998</v>
      </c>
      <c r="AO146">
        <v>30</v>
      </c>
      <c r="AP146">
        <v>21.87</v>
      </c>
      <c r="AQ146">
        <v>0.72</v>
      </c>
      <c r="AR146">
        <v>-5.96</v>
      </c>
      <c r="AS146">
        <v>1.95</v>
      </c>
      <c r="AT146">
        <v>23.82</v>
      </c>
      <c r="AU146">
        <v>6666.69</v>
      </c>
      <c r="AV146">
        <v>35.81</v>
      </c>
      <c r="AW146">
        <v>18.73</v>
      </c>
      <c r="AX146">
        <v>15.52</v>
      </c>
      <c r="AY146">
        <v>11.740372000000001</v>
      </c>
      <c r="AZ146">
        <v>65.365114000000005</v>
      </c>
      <c r="BA146">
        <v>-18.696594000000001</v>
      </c>
      <c r="BB146">
        <v>-4.2724200000000003</v>
      </c>
      <c r="BC146">
        <v>18.696594000000001</v>
      </c>
      <c r="BD146">
        <v>18.127378</v>
      </c>
      <c r="BE146">
        <v>152.440808</v>
      </c>
      <c r="BF146">
        <v>-14.951482</v>
      </c>
      <c r="BG146">
        <v>3.337548</v>
      </c>
      <c r="BH146">
        <v>14.951482</v>
      </c>
    </row>
    <row r="147" spans="1:60" x14ac:dyDescent="0.25">
      <c r="A147" t="s">
        <v>351</v>
      </c>
      <c r="B147" t="s">
        <v>352</v>
      </c>
      <c r="C147">
        <v>18</v>
      </c>
      <c r="D147" t="s">
        <v>314</v>
      </c>
      <c r="E147" cm="1">
        <f t="array" ref="E147">_xlfn.SWITCH(D147,"QPSK",0.1,"16QAM",0.25,"64QAM",0.5,"256QAM",0.8,"1024QAM",1,"")</f>
        <v>0.5</v>
      </c>
      <c r="F147" cm="1">
        <f t="array" ref="F147">_xlfn.SWITCH(D147,"QPSK",0.05,"16QAM",0.15,"64QAM",0.4,"256QAM",0.75,"1024QAM",1,"")</f>
        <v>0.4</v>
      </c>
      <c r="G147" t="s">
        <v>60</v>
      </c>
      <c r="H147">
        <v>4</v>
      </c>
      <c r="I147" t="s">
        <v>61</v>
      </c>
      <c r="J147">
        <v>2</v>
      </c>
      <c r="K147">
        <v>2</v>
      </c>
      <c r="L147" t="s">
        <v>62</v>
      </c>
      <c r="M147">
        <v>2</v>
      </c>
      <c r="N147">
        <v>0.47849999999999998</v>
      </c>
      <c r="O147">
        <v>0.4788</v>
      </c>
      <c r="P147">
        <v>5000</v>
      </c>
      <c r="Q147">
        <v>3490</v>
      </c>
      <c r="R147">
        <v>1510</v>
      </c>
      <c r="S147">
        <v>1.43</v>
      </c>
      <c r="T147">
        <v>0.43</v>
      </c>
      <c r="W147">
        <v>3490</v>
      </c>
      <c r="X147">
        <v>0</v>
      </c>
      <c r="Y147">
        <v>30.2</v>
      </c>
      <c r="Z147">
        <v>0</v>
      </c>
      <c r="AB147">
        <v>179280000</v>
      </c>
      <c r="AC147">
        <v>125137440</v>
      </c>
      <c r="AD147">
        <v>179280000</v>
      </c>
      <c r="AE147">
        <v>125137440</v>
      </c>
      <c r="AG147">
        <v>100</v>
      </c>
      <c r="AH147">
        <v>69.8</v>
      </c>
      <c r="AI147">
        <v>1</v>
      </c>
      <c r="AJ147">
        <v>1.4326650000000001</v>
      </c>
      <c r="AK147">
        <v>0.3342</v>
      </c>
      <c r="AL147">
        <v>25.03</v>
      </c>
      <c r="AM147">
        <v>25027</v>
      </c>
      <c r="AN147">
        <v>2.6739000000000002</v>
      </c>
      <c r="AO147">
        <v>30</v>
      </c>
      <c r="AP147">
        <v>21.87</v>
      </c>
      <c r="AQ147">
        <v>0.72</v>
      </c>
      <c r="AR147">
        <v>-5.96</v>
      </c>
      <c r="AS147">
        <v>1.95</v>
      </c>
      <c r="AT147">
        <v>23.92</v>
      </c>
      <c r="AU147">
        <v>6666.69</v>
      </c>
      <c r="AV147">
        <v>35.81</v>
      </c>
      <c r="AW147">
        <v>18.73</v>
      </c>
      <c r="AX147">
        <v>15.52</v>
      </c>
      <c r="AY147">
        <v>11.742246</v>
      </c>
      <c r="AZ147">
        <v>65.424344000000005</v>
      </c>
      <c r="BA147">
        <v>-18.695257999999999</v>
      </c>
      <c r="BB147">
        <v>-4.283436</v>
      </c>
      <c r="BC147">
        <v>18.695257999999999</v>
      </c>
      <c r="BD147">
        <v>18.12912</v>
      </c>
      <c r="BE147">
        <v>152.50176999999999</v>
      </c>
      <c r="BF147">
        <v>-14.950125999999999</v>
      </c>
      <c r="BG147">
        <v>3.3358539999999999</v>
      </c>
      <c r="BH147">
        <v>14.950125999999999</v>
      </c>
    </row>
    <row r="148" spans="1:60" x14ac:dyDescent="0.25">
      <c r="A148" t="s">
        <v>353</v>
      </c>
      <c r="B148" t="s">
        <v>354</v>
      </c>
      <c r="C148">
        <v>18</v>
      </c>
      <c r="D148" t="s">
        <v>314</v>
      </c>
      <c r="E148" cm="1">
        <f t="array" ref="E148">_xlfn.SWITCH(D148,"QPSK",0.1,"16QAM",0.25,"64QAM",0.5,"256QAM",0.8,"1024QAM",1,"")</f>
        <v>0.5</v>
      </c>
      <c r="F148" cm="1">
        <f t="array" ref="F148">_xlfn.SWITCH(D148,"QPSK",0.05,"16QAM",0.15,"64QAM",0.4,"256QAM",0.75,"1024QAM",1,"")</f>
        <v>0.4</v>
      </c>
      <c r="G148" t="s">
        <v>60</v>
      </c>
      <c r="H148">
        <v>8</v>
      </c>
      <c r="I148" t="s">
        <v>61</v>
      </c>
      <c r="J148">
        <v>2</v>
      </c>
      <c r="K148">
        <v>2</v>
      </c>
      <c r="L148" t="s">
        <v>62</v>
      </c>
      <c r="M148">
        <v>2</v>
      </c>
      <c r="N148">
        <v>0.47849999999999998</v>
      </c>
      <c r="O148">
        <v>0.4788</v>
      </c>
      <c r="P148">
        <v>5000</v>
      </c>
      <c r="Q148">
        <v>3455</v>
      </c>
      <c r="R148">
        <v>1545</v>
      </c>
      <c r="S148">
        <v>1.45</v>
      </c>
      <c r="T148">
        <v>0.45</v>
      </c>
      <c r="W148">
        <v>3455</v>
      </c>
      <c r="X148">
        <v>0</v>
      </c>
      <c r="Y148">
        <v>30.9</v>
      </c>
      <c r="Z148">
        <v>0</v>
      </c>
      <c r="AB148">
        <v>179280000</v>
      </c>
      <c r="AC148">
        <v>123882480</v>
      </c>
      <c r="AD148">
        <v>179280000</v>
      </c>
      <c r="AE148">
        <v>123882480</v>
      </c>
      <c r="AG148">
        <v>100</v>
      </c>
      <c r="AH148">
        <v>69.099999999999994</v>
      </c>
      <c r="AI148">
        <v>1</v>
      </c>
      <c r="AJ148">
        <v>1.4471780000000001</v>
      </c>
      <c r="AK148">
        <v>0.33090000000000003</v>
      </c>
      <c r="AL148">
        <v>24.78</v>
      </c>
      <c r="AM148">
        <v>24776</v>
      </c>
      <c r="AN148">
        <v>2.6471</v>
      </c>
      <c r="AO148">
        <v>30</v>
      </c>
      <c r="AP148">
        <v>21.87</v>
      </c>
      <c r="AQ148">
        <v>0.72</v>
      </c>
      <c r="AR148">
        <v>-5.96</v>
      </c>
      <c r="AS148">
        <v>1.95</v>
      </c>
      <c r="AT148">
        <v>23.76</v>
      </c>
      <c r="AU148">
        <v>6666.69</v>
      </c>
      <c r="AV148">
        <v>35.81</v>
      </c>
      <c r="AW148">
        <v>18.73</v>
      </c>
      <c r="AX148">
        <v>15.52</v>
      </c>
      <c r="AY148">
        <v>11.73776</v>
      </c>
      <c r="AZ148">
        <v>65.309287999999995</v>
      </c>
      <c r="BA148">
        <v>-18.698364000000002</v>
      </c>
      <c r="BB148">
        <v>-4.2823900000000004</v>
      </c>
      <c r="BC148">
        <v>18.698364000000002</v>
      </c>
      <c r="BD148">
        <v>18.132624</v>
      </c>
      <c r="BE148">
        <v>153.32622799999999</v>
      </c>
      <c r="BF148">
        <v>-14.948338</v>
      </c>
      <c r="BG148">
        <v>3.3868399999999999</v>
      </c>
      <c r="BH148">
        <v>14.948338</v>
      </c>
    </row>
    <row r="149" spans="1:60" x14ac:dyDescent="0.25">
      <c r="A149" t="s">
        <v>355</v>
      </c>
      <c r="B149" t="s">
        <v>356</v>
      </c>
      <c r="C149">
        <v>2</v>
      </c>
      <c r="D149" t="s">
        <v>314</v>
      </c>
      <c r="E149" cm="1">
        <f t="array" ref="E149">_xlfn.SWITCH(D149,"QPSK",0.1,"16QAM",0.25,"64QAM",0.5,"256QAM",0.8,"1024QAM",1,"")</f>
        <v>0.5</v>
      </c>
      <c r="F149" cm="1">
        <f t="array" ref="F149">_xlfn.SWITCH(D149,"QPSK",0.05,"16QAM",0.15,"64QAM",0.4,"256QAM",0.75,"1024QAM",1,"")</f>
        <v>0.4</v>
      </c>
      <c r="G149" t="s">
        <v>60</v>
      </c>
      <c r="H149">
        <v>1</v>
      </c>
      <c r="I149" t="s">
        <v>61</v>
      </c>
      <c r="J149">
        <v>2</v>
      </c>
      <c r="K149">
        <v>2</v>
      </c>
      <c r="L149" t="s">
        <v>62</v>
      </c>
      <c r="M149">
        <v>2</v>
      </c>
      <c r="N149">
        <v>0.47849999999999998</v>
      </c>
      <c r="O149">
        <v>0.4788</v>
      </c>
      <c r="P149">
        <v>5000</v>
      </c>
      <c r="Q149">
        <v>1256</v>
      </c>
      <c r="R149">
        <v>3744</v>
      </c>
      <c r="S149">
        <v>3.98</v>
      </c>
      <c r="T149">
        <v>2.98</v>
      </c>
      <c r="W149">
        <v>82</v>
      </c>
      <c r="X149">
        <v>0</v>
      </c>
      <c r="Y149">
        <v>98.36</v>
      </c>
      <c r="Z149">
        <v>93.47</v>
      </c>
      <c r="AB149">
        <v>179280000</v>
      </c>
      <c r="AC149">
        <v>2940192</v>
      </c>
      <c r="AD149">
        <v>179280000</v>
      </c>
      <c r="AE149">
        <v>2940192</v>
      </c>
      <c r="AG149">
        <v>6.53</v>
      </c>
      <c r="AH149">
        <v>1.64</v>
      </c>
      <c r="AI149">
        <v>1</v>
      </c>
      <c r="AJ149">
        <v>3.9808919999999999</v>
      </c>
      <c r="AK149">
        <v>7.9000000000000008E-3</v>
      </c>
      <c r="AL149">
        <v>0.59</v>
      </c>
      <c r="AM149">
        <v>588</v>
      </c>
      <c r="AN149">
        <v>6.2799999999999995E-2</v>
      </c>
      <c r="AO149">
        <v>30</v>
      </c>
      <c r="AP149">
        <v>21.87</v>
      </c>
      <c r="AQ149">
        <v>0.72</v>
      </c>
      <c r="AR149">
        <v>-5.83</v>
      </c>
      <c r="AS149">
        <v>1.89</v>
      </c>
      <c r="AT149">
        <v>13.04</v>
      </c>
      <c r="AU149">
        <v>6666.69</v>
      </c>
      <c r="AV149">
        <v>35.81</v>
      </c>
      <c r="AW149">
        <v>15.28</v>
      </c>
      <c r="AX149">
        <v>12.02</v>
      </c>
      <c r="AY149">
        <v>20.52046</v>
      </c>
      <c r="AZ149">
        <v>132.94846999999999</v>
      </c>
      <c r="BA149">
        <v>-13.799595999999999</v>
      </c>
      <c r="BB149">
        <v>2.3234020000000002</v>
      </c>
      <c r="BC149">
        <v>13.799595999999999</v>
      </c>
      <c r="BD149">
        <v>29.016871999999999</v>
      </c>
      <c r="BE149">
        <v>233.63607200000001</v>
      </c>
      <c r="BF149">
        <v>-10.824572</v>
      </c>
      <c r="BG149">
        <v>7.1145319999999996</v>
      </c>
      <c r="BH149">
        <v>10.824572</v>
      </c>
    </row>
    <row r="150" spans="1:60" x14ac:dyDescent="0.25">
      <c r="A150" t="s">
        <v>357</v>
      </c>
      <c r="B150" t="s">
        <v>358</v>
      </c>
      <c r="C150">
        <v>2</v>
      </c>
      <c r="D150" t="s">
        <v>314</v>
      </c>
      <c r="E150" cm="1">
        <f t="array" ref="E150">_xlfn.SWITCH(D150,"QPSK",0.1,"16QAM",0.25,"64QAM",0.5,"256QAM",0.8,"1024QAM",1,"")</f>
        <v>0.5</v>
      </c>
      <c r="F150" cm="1">
        <f t="array" ref="F150">_xlfn.SWITCH(D150,"QPSK",0.05,"16QAM",0.15,"64QAM",0.4,"256QAM",0.75,"1024QAM",1,"")</f>
        <v>0.4</v>
      </c>
      <c r="G150" t="s">
        <v>60</v>
      </c>
      <c r="H150">
        <v>4</v>
      </c>
      <c r="I150" t="s">
        <v>61</v>
      </c>
      <c r="J150">
        <v>2</v>
      </c>
      <c r="K150">
        <v>2</v>
      </c>
      <c r="L150" t="s">
        <v>62</v>
      </c>
      <c r="M150">
        <v>2</v>
      </c>
      <c r="N150">
        <v>0.47849999999999998</v>
      </c>
      <c r="O150">
        <v>0.4788</v>
      </c>
      <c r="P150">
        <v>5000</v>
      </c>
      <c r="Q150">
        <v>1256</v>
      </c>
      <c r="R150">
        <v>3744</v>
      </c>
      <c r="S150">
        <v>3.98</v>
      </c>
      <c r="T150">
        <v>2.98</v>
      </c>
      <c r="W150">
        <v>80</v>
      </c>
      <c r="X150">
        <v>0</v>
      </c>
      <c r="Y150">
        <v>98.4</v>
      </c>
      <c r="Z150">
        <v>93.63</v>
      </c>
      <c r="AB150">
        <v>179280000</v>
      </c>
      <c r="AC150">
        <v>2868480</v>
      </c>
      <c r="AD150">
        <v>179280000</v>
      </c>
      <c r="AE150">
        <v>2868480</v>
      </c>
      <c r="AG150">
        <v>6.37</v>
      </c>
      <c r="AH150">
        <v>1.6</v>
      </c>
      <c r="AI150">
        <v>1</v>
      </c>
      <c r="AJ150">
        <v>3.9808919999999999</v>
      </c>
      <c r="AK150">
        <v>7.7000000000000002E-3</v>
      </c>
      <c r="AL150">
        <v>0.56999999999999995</v>
      </c>
      <c r="AM150">
        <v>574</v>
      </c>
      <c r="AN150">
        <v>6.13E-2</v>
      </c>
      <c r="AO150">
        <v>30</v>
      </c>
      <c r="AP150">
        <v>21.87</v>
      </c>
      <c r="AQ150">
        <v>0.72</v>
      </c>
      <c r="AR150">
        <v>-5.83</v>
      </c>
      <c r="AS150">
        <v>1.89</v>
      </c>
      <c r="AT150">
        <v>13.13</v>
      </c>
      <c r="AU150">
        <v>6666.69</v>
      </c>
      <c r="AV150">
        <v>35.81</v>
      </c>
      <c r="AW150">
        <v>15.28</v>
      </c>
      <c r="AX150">
        <v>12.01</v>
      </c>
      <c r="AY150">
        <v>20.518930000000001</v>
      </c>
      <c r="AZ150">
        <v>132.74197799999999</v>
      </c>
      <c r="BA150">
        <v>-13.799718</v>
      </c>
      <c r="BB150">
        <v>2.3071519999999999</v>
      </c>
      <c r="BC150">
        <v>13.799718</v>
      </c>
      <c r="BD150">
        <v>29.019051999999999</v>
      </c>
      <c r="BE150">
        <v>233.96401599999999</v>
      </c>
      <c r="BF150">
        <v>-10.824802</v>
      </c>
      <c r="BG150">
        <v>7.1157599999999999</v>
      </c>
      <c r="BH150">
        <v>10.824802</v>
      </c>
    </row>
    <row r="151" spans="1:60" x14ac:dyDescent="0.25">
      <c r="A151" t="s">
        <v>359</v>
      </c>
      <c r="B151" t="s">
        <v>360</v>
      </c>
      <c r="C151">
        <v>2</v>
      </c>
      <c r="D151" t="s">
        <v>314</v>
      </c>
      <c r="E151" cm="1">
        <f t="array" ref="E151">_xlfn.SWITCH(D151,"QPSK",0.1,"16QAM",0.25,"64QAM",0.5,"256QAM",0.8,"1024QAM",1,"")</f>
        <v>0.5</v>
      </c>
      <c r="F151" cm="1">
        <f t="array" ref="F151">_xlfn.SWITCH(D151,"QPSK",0.05,"16QAM",0.15,"64QAM",0.4,"256QAM",0.75,"1024QAM",1,"")</f>
        <v>0.4</v>
      </c>
      <c r="G151" t="s">
        <v>60</v>
      </c>
      <c r="H151">
        <v>8</v>
      </c>
      <c r="I151" t="s">
        <v>61</v>
      </c>
      <c r="J151">
        <v>2</v>
      </c>
      <c r="K151">
        <v>2</v>
      </c>
      <c r="L151" t="s">
        <v>62</v>
      </c>
      <c r="M151">
        <v>2</v>
      </c>
      <c r="N151">
        <v>0.47849999999999998</v>
      </c>
      <c r="O151">
        <v>0.4788</v>
      </c>
      <c r="P151">
        <v>5000</v>
      </c>
      <c r="Q151">
        <v>1256</v>
      </c>
      <c r="R151">
        <v>3744</v>
      </c>
      <c r="S151">
        <v>3.98</v>
      </c>
      <c r="T151">
        <v>2.98</v>
      </c>
      <c r="W151">
        <v>71</v>
      </c>
      <c r="X151">
        <v>0</v>
      </c>
      <c r="Y151">
        <v>98.58</v>
      </c>
      <c r="Z151">
        <v>94.35</v>
      </c>
      <c r="AB151">
        <v>179280000</v>
      </c>
      <c r="AC151">
        <v>2545776</v>
      </c>
      <c r="AD151">
        <v>179280000</v>
      </c>
      <c r="AE151">
        <v>2545776</v>
      </c>
      <c r="AG151">
        <v>5.65</v>
      </c>
      <c r="AH151">
        <v>1.42</v>
      </c>
      <c r="AI151">
        <v>1</v>
      </c>
      <c r="AJ151">
        <v>3.9808919999999999</v>
      </c>
      <c r="AK151">
        <v>6.7999999999999996E-3</v>
      </c>
      <c r="AL151">
        <v>0.51</v>
      </c>
      <c r="AM151">
        <v>509</v>
      </c>
      <c r="AN151">
        <v>5.4399999999999997E-2</v>
      </c>
      <c r="AO151">
        <v>30</v>
      </c>
      <c r="AP151">
        <v>21.87</v>
      </c>
      <c r="AQ151">
        <v>0.72</v>
      </c>
      <c r="AR151">
        <v>-5.83</v>
      </c>
      <c r="AS151">
        <v>1.89</v>
      </c>
      <c r="AT151">
        <v>13.15</v>
      </c>
      <c r="AU151">
        <v>6666.69</v>
      </c>
      <c r="AV151">
        <v>35.81</v>
      </c>
      <c r="AW151">
        <v>15.28</v>
      </c>
      <c r="AX151">
        <v>12.02</v>
      </c>
      <c r="AY151">
        <v>20.517202000000001</v>
      </c>
      <c r="AZ151">
        <v>132.98801800000001</v>
      </c>
      <c r="BA151">
        <v>-13.800962</v>
      </c>
      <c r="BB151">
        <v>2.3227099999999998</v>
      </c>
      <c r="BC151">
        <v>13.800962</v>
      </c>
      <c r="BD151">
        <v>29.006114</v>
      </c>
      <c r="BE151">
        <v>233.492784</v>
      </c>
      <c r="BF151">
        <v>-10.828352000000001</v>
      </c>
      <c r="BG151">
        <v>7.1059999999999999</v>
      </c>
      <c r="BH151">
        <v>10.828352000000001</v>
      </c>
    </row>
    <row r="152" spans="1:60" x14ac:dyDescent="0.25">
      <c r="A152" t="s">
        <v>361</v>
      </c>
      <c r="B152" t="s">
        <v>362</v>
      </c>
      <c r="C152">
        <v>20</v>
      </c>
      <c r="D152" t="s">
        <v>314</v>
      </c>
      <c r="E152" cm="1">
        <f t="array" ref="E152">_xlfn.SWITCH(D152,"QPSK",0.1,"16QAM",0.25,"64QAM",0.5,"256QAM",0.8,"1024QAM",1,"")</f>
        <v>0.5</v>
      </c>
      <c r="F152" cm="1">
        <f t="array" ref="F152">_xlfn.SWITCH(D152,"QPSK",0.05,"16QAM",0.15,"64QAM",0.4,"256QAM",0.75,"1024QAM",1,"")</f>
        <v>0.4</v>
      </c>
      <c r="G152" t="s">
        <v>60</v>
      </c>
      <c r="H152">
        <v>1</v>
      </c>
      <c r="I152" t="s">
        <v>61</v>
      </c>
      <c r="J152">
        <v>2</v>
      </c>
      <c r="K152">
        <v>2</v>
      </c>
      <c r="L152" t="s">
        <v>62</v>
      </c>
      <c r="M152">
        <v>2</v>
      </c>
      <c r="N152">
        <v>0.47849999999999998</v>
      </c>
      <c r="O152">
        <v>0.4788</v>
      </c>
      <c r="P152">
        <v>5000</v>
      </c>
      <c r="Q152">
        <v>4086</v>
      </c>
      <c r="R152">
        <v>914</v>
      </c>
      <c r="S152">
        <v>1.22</v>
      </c>
      <c r="T152">
        <v>0.22</v>
      </c>
      <c r="W152">
        <v>4086</v>
      </c>
      <c r="X152">
        <v>0</v>
      </c>
      <c r="Y152">
        <v>18.28</v>
      </c>
      <c r="Z152">
        <v>0</v>
      </c>
      <c r="AB152">
        <v>179280000</v>
      </c>
      <c r="AC152">
        <v>146507616</v>
      </c>
      <c r="AD152">
        <v>179280000</v>
      </c>
      <c r="AE152">
        <v>146507616</v>
      </c>
      <c r="AG152">
        <v>100</v>
      </c>
      <c r="AH152">
        <v>81.72</v>
      </c>
      <c r="AI152">
        <v>1</v>
      </c>
      <c r="AJ152">
        <v>1.2236910000000001</v>
      </c>
      <c r="AK152">
        <v>0.39129999999999998</v>
      </c>
      <c r="AL152">
        <v>29.3</v>
      </c>
      <c r="AM152">
        <v>29302</v>
      </c>
      <c r="AN152">
        <v>3.1305000000000001</v>
      </c>
      <c r="AO152">
        <v>30</v>
      </c>
      <c r="AP152">
        <v>21.87</v>
      </c>
      <c r="AQ152">
        <v>0.72</v>
      </c>
      <c r="AR152">
        <v>-5.97</v>
      </c>
      <c r="AS152">
        <v>1.95</v>
      </c>
      <c r="AT152">
        <v>25.69</v>
      </c>
      <c r="AU152">
        <v>6666.69</v>
      </c>
      <c r="AV152">
        <v>35.81</v>
      </c>
      <c r="AW152">
        <v>19.72</v>
      </c>
      <c r="AX152">
        <v>15.98</v>
      </c>
      <c r="AY152">
        <v>10.508822</v>
      </c>
      <c r="AZ152">
        <v>56.527712000000001</v>
      </c>
      <c r="BA152">
        <v>-19.698630000000001</v>
      </c>
      <c r="BB152">
        <v>-5.5337639999999997</v>
      </c>
      <c r="BC152">
        <v>19.698630000000001</v>
      </c>
      <c r="BD152">
        <v>16.838267999999999</v>
      </c>
      <c r="BE152">
        <v>142.99768800000001</v>
      </c>
      <c r="BF152">
        <v>-15.603884000000001</v>
      </c>
      <c r="BG152">
        <v>2.6971820000000002</v>
      </c>
      <c r="BH152">
        <v>15.603884000000001</v>
      </c>
    </row>
    <row r="153" spans="1:60" x14ac:dyDescent="0.25">
      <c r="A153" t="s">
        <v>363</v>
      </c>
      <c r="B153" t="s">
        <v>364</v>
      </c>
      <c r="C153">
        <v>20</v>
      </c>
      <c r="D153" t="s">
        <v>314</v>
      </c>
      <c r="E153" cm="1">
        <f t="array" ref="E153">_xlfn.SWITCH(D153,"QPSK",0.1,"16QAM",0.25,"64QAM",0.5,"256QAM",0.8,"1024QAM",1,"")</f>
        <v>0.5</v>
      </c>
      <c r="F153" cm="1">
        <f t="array" ref="F153">_xlfn.SWITCH(D153,"QPSK",0.05,"16QAM",0.15,"64QAM",0.4,"256QAM",0.75,"1024QAM",1,"")</f>
        <v>0.4</v>
      </c>
      <c r="G153" t="s">
        <v>60</v>
      </c>
      <c r="H153">
        <v>4</v>
      </c>
      <c r="I153" t="s">
        <v>61</v>
      </c>
      <c r="J153">
        <v>2</v>
      </c>
      <c r="K153">
        <v>2</v>
      </c>
      <c r="L153" t="s">
        <v>62</v>
      </c>
      <c r="M153">
        <v>2</v>
      </c>
      <c r="N153">
        <v>0.47849999999999998</v>
      </c>
      <c r="O153">
        <v>0.4788</v>
      </c>
      <c r="P153">
        <v>5000</v>
      </c>
      <c r="Q153">
        <v>4055</v>
      </c>
      <c r="R153">
        <v>945</v>
      </c>
      <c r="S153">
        <v>1.23</v>
      </c>
      <c r="T153">
        <v>0.23</v>
      </c>
      <c r="W153">
        <v>4055</v>
      </c>
      <c r="X153">
        <v>0</v>
      </c>
      <c r="Y153">
        <v>18.899999999999999</v>
      </c>
      <c r="Z153">
        <v>0</v>
      </c>
      <c r="AB153">
        <v>179280000</v>
      </c>
      <c r="AC153">
        <v>145396080</v>
      </c>
      <c r="AD153">
        <v>179280000</v>
      </c>
      <c r="AE153">
        <v>145396080</v>
      </c>
      <c r="AG153">
        <v>100</v>
      </c>
      <c r="AH153">
        <v>81.099999999999994</v>
      </c>
      <c r="AI153">
        <v>1</v>
      </c>
      <c r="AJ153">
        <v>1.2330460000000001</v>
      </c>
      <c r="AK153">
        <v>0.38829999999999998</v>
      </c>
      <c r="AL153">
        <v>29.08</v>
      </c>
      <c r="AM153">
        <v>29079</v>
      </c>
      <c r="AN153">
        <v>3.1067999999999998</v>
      </c>
      <c r="AO153">
        <v>30</v>
      </c>
      <c r="AP153">
        <v>21.87</v>
      </c>
      <c r="AQ153">
        <v>0.72</v>
      </c>
      <c r="AR153">
        <v>-5.98</v>
      </c>
      <c r="AS153">
        <v>1.95</v>
      </c>
      <c r="AT153">
        <v>25.82</v>
      </c>
      <c r="AU153">
        <v>6666.69</v>
      </c>
      <c r="AV153">
        <v>35.81</v>
      </c>
      <c r="AW153">
        <v>19.72</v>
      </c>
      <c r="AX153">
        <v>15.99</v>
      </c>
      <c r="AY153">
        <v>10.50958</v>
      </c>
      <c r="AZ153">
        <v>56.556552000000003</v>
      </c>
      <c r="BA153">
        <v>-19.698250000000002</v>
      </c>
      <c r="BB153">
        <v>-5.547326</v>
      </c>
      <c r="BC153">
        <v>19.698250000000002</v>
      </c>
      <c r="BD153">
        <v>16.826934000000001</v>
      </c>
      <c r="BE153">
        <v>141.856244</v>
      </c>
      <c r="BF153">
        <v>-15.60948</v>
      </c>
      <c r="BG153">
        <v>2.6215980000000001</v>
      </c>
      <c r="BH153">
        <v>15.60948</v>
      </c>
    </row>
    <row r="154" spans="1:60" x14ac:dyDescent="0.25">
      <c r="A154" t="s">
        <v>365</v>
      </c>
      <c r="B154" t="s">
        <v>366</v>
      </c>
      <c r="C154">
        <v>20</v>
      </c>
      <c r="D154" t="s">
        <v>314</v>
      </c>
      <c r="E154" cm="1">
        <f t="array" ref="E154">_xlfn.SWITCH(D154,"QPSK",0.1,"16QAM",0.25,"64QAM",0.5,"256QAM",0.8,"1024QAM",1,"")</f>
        <v>0.5</v>
      </c>
      <c r="F154" cm="1">
        <f t="array" ref="F154">_xlfn.SWITCH(D154,"QPSK",0.05,"16QAM",0.15,"64QAM",0.4,"256QAM",0.75,"1024QAM",1,"")</f>
        <v>0.4</v>
      </c>
      <c r="G154" t="s">
        <v>60</v>
      </c>
      <c r="H154">
        <v>8</v>
      </c>
      <c r="I154" t="s">
        <v>61</v>
      </c>
      <c r="J154">
        <v>2</v>
      </c>
      <c r="K154">
        <v>2</v>
      </c>
      <c r="L154" t="s">
        <v>62</v>
      </c>
      <c r="M154">
        <v>2</v>
      </c>
      <c r="N154">
        <v>0.47849999999999998</v>
      </c>
      <c r="O154">
        <v>0.4788</v>
      </c>
      <c r="P154">
        <v>5000</v>
      </c>
      <c r="Q154">
        <v>4034</v>
      </c>
      <c r="R154">
        <v>966</v>
      </c>
      <c r="S154">
        <v>1.24</v>
      </c>
      <c r="T154">
        <v>0.24</v>
      </c>
      <c r="W154">
        <v>4034</v>
      </c>
      <c r="X154">
        <v>0</v>
      </c>
      <c r="Y154">
        <v>19.32</v>
      </c>
      <c r="Z154">
        <v>0</v>
      </c>
      <c r="AB154">
        <v>179280000</v>
      </c>
      <c r="AC154">
        <v>144643104</v>
      </c>
      <c r="AD154">
        <v>179280000</v>
      </c>
      <c r="AE154">
        <v>144643104</v>
      </c>
      <c r="AG154">
        <v>100</v>
      </c>
      <c r="AH154">
        <v>80.680000000000007</v>
      </c>
      <c r="AI154">
        <v>1</v>
      </c>
      <c r="AJ154">
        <v>1.239465</v>
      </c>
      <c r="AK154">
        <v>0.38629999999999998</v>
      </c>
      <c r="AL154">
        <v>28.93</v>
      </c>
      <c r="AM154">
        <v>28929</v>
      </c>
      <c r="AN154">
        <v>3.0907</v>
      </c>
      <c r="AO154">
        <v>30</v>
      </c>
      <c r="AP154">
        <v>21.87</v>
      </c>
      <c r="AQ154">
        <v>0.72</v>
      </c>
      <c r="AR154">
        <v>-5.98</v>
      </c>
      <c r="AS154">
        <v>1.95</v>
      </c>
      <c r="AT154">
        <v>25.43</v>
      </c>
      <c r="AU154">
        <v>6666.69</v>
      </c>
      <c r="AV154">
        <v>35.81</v>
      </c>
      <c r="AW154">
        <v>19.72</v>
      </c>
      <c r="AX154">
        <v>15.99</v>
      </c>
      <c r="AY154">
        <v>10.508089999999999</v>
      </c>
      <c r="AZ154">
        <v>56.60763</v>
      </c>
      <c r="BA154">
        <v>-19.699445999999998</v>
      </c>
      <c r="BB154">
        <v>-5.5403440000000002</v>
      </c>
      <c r="BC154">
        <v>19.699445999999998</v>
      </c>
      <c r="BD154">
        <v>16.821020000000001</v>
      </c>
      <c r="BE154">
        <v>141.91206399999999</v>
      </c>
      <c r="BF154">
        <v>-15.61247</v>
      </c>
      <c r="BG154">
        <v>2.629156</v>
      </c>
      <c r="BH154">
        <v>15.61247</v>
      </c>
    </row>
    <row r="155" spans="1:60" x14ac:dyDescent="0.25">
      <c r="A155" t="s">
        <v>367</v>
      </c>
      <c r="B155" t="s">
        <v>368</v>
      </c>
      <c r="C155">
        <v>22</v>
      </c>
      <c r="D155" t="s">
        <v>314</v>
      </c>
      <c r="E155" cm="1">
        <f t="array" ref="E155">_xlfn.SWITCH(D155,"QPSK",0.1,"16QAM",0.25,"64QAM",0.5,"256QAM",0.8,"1024QAM",1,"")</f>
        <v>0.5</v>
      </c>
      <c r="F155" cm="1">
        <f t="array" ref="F155">_xlfn.SWITCH(D155,"QPSK",0.05,"16QAM",0.15,"64QAM",0.4,"256QAM",0.75,"1024QAM",1,"")</f>
        <v>0.4</v>
      </c>
      <c r="G155" t="s">
        <v>60</v>
      </c>
      <c r="H155">
        <v>1</v>
      </c>
      <c r="I155" t="s">
        <v>61</v>
      </c>
      <c r="J155">
        <v>2</v>
      </c>
      <c r="K155">
        <v>2</v>
      </c>
      <c r="L155" t="s">
        <v>62</v>
      </c>
      <c r="M155">
        <v>2</v>
      </c>
      <c r="N155">
        <v>0.47849999999999998</v>
      </c>
      <c r="O155">
        <v>0.4788</v>
      </c>
      <c r="P155">
        <v>5000</v>
      </c>
      <c r="Q155">
        <v>4489</v>
      </c>
      <c r="R155">
        <v>511</v>
      </c>
      <c r="S155">
        <v>1.1100000000000001</v>
      </c>
      <c r="T155">
        <v>0.11</v>
      </c>
      <c r="W155">
        <v>4489</v>
      </c>
      <c r="X155">
        <v>0</v>
      </c>
      <c r="Y155">
        <v>10.220000000000001</v>
      </c>
      <c r="Z155">
        <v>0</v>
      </c>
      <c r="AB155">
        <v>179280000</v>
      </c>
      <c r="AC155">
        <v>160957584</v>
      </c>
      <c r="AD155">
        <v>179280000</v>
      </c>
      <c r="AE155">
        <v>160957584</v>
      </c>
      <c r="AG155">
        <v>100</v>
      </c>
      <c r="AH155">
        <v>89.78</v>
      </c>
      <c r="AI155">
        <v>1</v>
      </c>
      <c r="AJ155">
        <v>1.113834</v>
      </c>
      <c r="AK155">
        <v>0.4299</v>
      </c>
      <c r="AL155">
        <v>32.19</v>
      </c>
      <c r="AM155">
        <v>32192</v>
      </c>
      <c r="AN155">
        <v>3.4392999999999998</v>
      </c>
      <c r="AO155">
        <v>30</v>
      </c>
      <c r="AP155">
        <v>21.87</v>
      </c>
      <c r="AQ155">
        <v>0.72</v>
      </c>
      <c r="AR155">
        <v>-5.98</v>
      </c>
      <c r="AS155">
        <v>1.96</v>
      </c>
      <c r="AT155">
        <v>28.81</v>
      </c>
      <c r="AU155">
        <v>6666.69</v>
      </c>
      <c r="AV155">
        <v>35.81</v>
      </c>
      <c r="AW155">
        <v>20.82</v>
      </c>
      <c r="AX155">
        <v>16.52</v>
      </c>
      <c r="AY155">
        <v>9.2909279999999992</v>
      </c>
      <c r="AZ155">
        <v>49.410862000000002</v>
      </c>
      <c r="BA155">
        <v>-20.808357999999998</v>
      </c>
      <c r="BB155">
        <v>-6.722308</v>
      </c>
      <c r="BC155">
        <v>20.808357999999998</v>
      </c>
      <c r="BD155">
        <v>15.607766</v>
      </c>
      <c r="BE155">
        <v>132.393584</v>
      </c>
      <c r="BF155">
        <v>-16.272767999999999</v>
      </c>
      <c r="BG155">
        <v>1.9481599999999999</v>
      </c>
      <c r="BH155">
        <v>16.272767999999999</v>
      </c>
    </row>
    <row r="156" spans="1:60" x14ac:dyDescent="0.25">
      <c r="A156" t="s">
        <v>369</v>
      </c>
      <c r="B156" t="s">
        <v>370</v>
      </c>
      <c r="C156">
        <v>22</v>
      </c>
      <c r="D156" t="s">
        <v>314</v>
      </c>
      <c r="E156" cm="1">
        <f t="array" ref="E156">_xlfn.SWITCH(D156,"QPSK",0.1,"16QAM",0.25,"64QAM",0.5,"256QAM",0.8,"1024QAM",1,"")</f>
        <v>0.5</v>
      </c>
      <c r="F156" cm="1">
        <f t="array" ref="F156">_xlfn.SWITCH(D156,"QPSK",0.05,"16QAM",0.15,"64QAM",0.4,"256QAM",0.75,"1024QAM",1,"")</f>
        <v>0.4</v>
      </c>
      <c r="G156" t="s">
        <v>60</v>
      </c>
      <c r="H156">
        <v>4</v>
      </c>
      <c r="I156" t="s">
        <v>61</v>
      </c>
      <c r="J156">
        <v>2</v>
      </c>
      <c r="K156">
        <v>2</v>
      </c>
      <c r="L156" t="s">
        <v>62</v>
      </c>
      <c r="M156">
        <v>2</v>
      </c>
      <c r="N156">
        <v>0.47849999999999998</v>
      </c>
      <c r="O156">
        <v>0.4788</v>
      </c>
      <c r="P156">
        <v>5000</v>
      </c>
      <c r="Q156">
        <v>4470</v>
      </c>
      <c r="R156">
        <v>530</v>
      </c>
      <c r="S156">
        <v>1.1200000000000001</v>
      </c>
      <c r="T156">
        <v>0.12</v>
      </c>
      <c r="W156">
        <v>4470</v>
      </c>
      <c r="X156">
        <v>0</v>
      </c>
      <c r="Y156">
        <v>10.6</v>
      </c>
      <c r="Z156">
        <v>0</v>
      </c>
      <c r="AB156">
        <v>179280000</v>
      </c>
      <c r="AC156">
        <v>160276320</v>
      </c>
      <c r="AD156">
        <v>179280000</v>
      </c>
      <c r="AE156">
        <v>160276320</v>
      </c>
      <c r="AG156">
        <v>100</v>
      </c>
      <c r="AH156">
        <v>89.4</v>
      </c>
      <c r="AI156">
        <v>1</v>
      </c>
      <c r="AJ156">
        <v>1.118568</v>
      </c>
      <c r="AK156">
        <v>0.42809999999999998</v>
      </c>
      <c r="AL156">
        <v>32.06</v>
      </c>
      <c r="AM156">
        <v>32055</v>
      </c>
      <c r="AN156">
        <v>3.4247000000000001</v>
      </c>
      <c r="AO156">
        <v>30</v>
      </c>
      <c r="AP156">
        <v>21.87</v>
      </c>
      <c r="AQ156">
        <v>0.72</v>
      </c>
      <c r="AR156">
        <v>-5.98</v>
      </c>
      <c r="AS156">
        <v>1.96</v>
      </c>
      <c r="AT156">
        <v>29</v>
      </c>
      <c r="AU156">
        <v>6666.69</v>
      </c>
      <c r="AV156">
        <v>35.81</v>
      </c>
      <c r="AW156">
        <v>20.82</v>
      </c>
      <c r="AX156">
        <v>16.52</v>
      </c>
      <c r="AY156">
        <v>9.2910120000000003</v>
      </c>
      <c r="AZ156">
        <v>49.382897999999997</v>
      </c>
      <c r="BA156">
        <v>-20.808208</v>
      </c>
      <c r="BB156">
        <v>-6.7302580000000001</v>
      </c>
      <c r="BC156">
        <v>20.808208</v>
      </c>
      <c r="BD156">
        <v>15.607806</v>
      </c>
      <c r="BE156">
        <v>132.495992</v>
      </c>
      <c r="BF156">
        <v>-16.273342</v>
      </c>
      <c r="BG156">
        <v>1.9548019999999999</v>
      </c>
      <c r="BH156">
        <v>16.273342</v>
      </c>
    </row>
    <row r="157" spans="1:60" x14ac:dyDescent="0.25">
      <c r="A157" t="s">
        <v>371</v>
      </c>
      <c r="B157" t="s">
        <v>372</v>
      </c>
      <c r="C157">
        <v>22</v>
      </c>
      <c r="D157" t="s">
        <v>314</v>
      </c>
      <c r="E157" cm="1">
        <f t="array" ref="E157">_xlfn.SWITCH(D157,"QPSK",0.1,"16QAM",0.25,"64QAM",0.5,"256QAM",0.8,"1024QAM",1,"")</f>
        <v>0.5</v>
      </c>
      <c r="F157" cm="1">
        <f t="array" ref="F157">_xlfn.SWITCH(D157,"QPSK",0.05,"16QAM",0.15,"64QAM",0.4,"256QAM",0.75,"1024QAM",1,"")</f>
        <v>0.4</v>
      </c>
      <c r="G157" t="s">
        <v>60</v>
      </c>
      <c r="H157">
        <v>8</v>
      </c>
      <c r="I157" t="s">
        <v>61</v>
      </c>
      <c r="J157">
        <v>2</v>
      </c>
      <c r="K157">
        <v>2</v>
      </c>
      <c r="L157" t="s">
        <v>62</v>
      </c>
      <c r="M157">
        <v>2</v>
      </c>
      <c r="N157">
        <v>0.47849999999999998</v>
      </c>
      <c r="O157">
        <v>0.4788</v>
      </c>
      <c r="P157">
        <v>5000</v>
      </c>
      <c r="Q157">
        <v>4445</v>
      </c>
      <c r="R157">
        <v>555</v>
      </c>
      <c r="S157">
        <v>1.1200000000000001</v>
      </c>
      <c r="T157">
        <v>0.12</v>
      </c>
      <c r="W157">
        <v>4445</v>
      </c>
      <c r="X157">
        <v>0</v>
      </c>
      <c r="Y157">
        <v>11.1</v>
      </c>
      <c r="Z157">
        <v>0</v>
      </c>
      <c r="AB157">
        <v>179280000</v>
      </c>
      <c r="AC157">
        <v>159379920</v>
      </c>
      <c r="AD157">
        <v>179280000</v>
      </c>
      <c r="AE157">
        <v>159379920</v>
      </c>
      <c r="AG157">
        <v>100</v>
      </c>
      <c r="AH157">
        <v>88.9</v>
      </c>
      <c r="AI157">
        <v>1</v>
      </c>
      <c r="AJ157">
        <v>1.1248590000000001</v>
      </c>
      <c r="AK157">
        <v>0.42570000000000002</v>
      </c>
      <c r="AL157">
        <v>31.88</v>
      </c>
      <c r="AM157">
        <v>31876</v>
      </c>
      <c r="AN157">
        <v>3.4056000000000002</v>
      </c>
      <c r="AO157">
        <v>30</v>
      </c>
      <c r="AP157">
        <v>21.87</v>
      </c>
      <c r="AQ157">
        <v>0.72</v>
      </c>
      <c r="AR157">
        <v>-5.98</v>
      </c>
      <c r="AS157">
        <v>1.96</v>
      </c>
      <c r="AT157">
        <v>28.17</v>
      </c>
      <c r="AU157">
        <v>6666.69</v>
      </c>
      <c r="AV157">
        <v>35.81</v>
      </c>
      <c r="AW157">
        <v>20.82</v>
      </c>
      <c r="AX157">
        <v>16.52</v>
      </c>
      <c r="AY157">
        <v>9.2948459999999997</v>
      </c>
      <c r="AZ157">
        <v>49.630122</v>
      </c>
      <c r="BA157">
        <v>-20.804784000000001</v>
      </c>
      <c r="BB157">
        <v>-6.7117839999999998</v>
      </c>
      <c r="BC157">
        <v>20.804784000000001</v>
      </c>
      <c r="BD157">
        <v>15.59923</v>
      </c>
      <c r="BE157">
        <v>132.25369800000001</v>
      </c>
      <c r="BF157">
        <v>-16.277984</v>
      </c>
      <c r="BG157">
        <v>1.9246460000000001</v>
      </c>
      <c r="BH157">
        <v>16.277984</v>
      </c>
    </row>
    <row r="158" spans="1:60" x14ac:dyDescent="0.25">
      <c r="A158" t="s">
        <v>373</v>
      </c>
      <c r="B158" t="s">
        <v>374</v>
      </c>
      <c r="C158">
        <v>24</v>
      </c>
      <c r="D158" t="s">
        <v>314</v>
      </c>
      <c r="E158" cm="1">
        <f t="array" ref="E158">_xlfn.SWITCH(D158,"QPSK",0.1,"16QAM",0.25,"64QAM",0.5,"256QAM",0.8,"1024QAM",1,"")</f>
        <v>0.5</v>
      </c>
      <c r="F158" cm="1">
        <f t="array" ref="F158">_xlfn.SWITCH(D158,"QPSK",0.05,"16QAM",0.15,"64QAM",0.4,"256QAM",0.75,"1024QAM",1,"")</f>
        <v>0.4</v>
      </c>
      <c r="G158" t="s">
        <v>60</v>
      </c>
      <c r="H158">
        <v>1</v>
      </c>
      <c r="I158" t="s">
        <v>61</v>
      </c>
      <c r="J158">
        <v>2</v>
      </c>
      <c r="K158">
        <v>2</v>
      </c>
      <c r="L158" t="s">
        <v>62</v>
      </c>
      <c r="M158">
        <v>2</v>
      </c>
      <c r="N158">
        <v>0.47849999999999998</v>
      </c>
      <c r="O158">
        <v>0.4788</v>
      </c>
      <c r="P158">
        <v>5000</v>
      </c>
      <c r="Q158">
        <v>4801</v>
      </c>
      <c r="R158">
        <v>199</v>
      </c>
      <c r="S158">
        <v>1.04</v>
      </c>
      <c r="T158">
        <v>0.04</v>
      </c>
      <c r="W158">
        <v>4801</v>
      </c>
      <c r="X158">
        <v>0</v>
      </c>
      <c r="Y158">
        <v>3.98</v>
      </c>
      <c r="Z158">
        <v>0</v>
      </c>
      <c r="AB158">
        <v>179280000</v>
      </c>
      <c r="AC158">
        <v>172144656</v>
      </c>
      <c r="AD158">
        <v>179280000</v>
      </c>
      <c r="AE158">
        <v>172144656</v>
      </c>
      <c r="AG158">
        <v>100</v>
      </c>
      <c r="AH158">
        <v>96.02</v>
      </c>
      <c r="AI158">
        <v>1</v>
      </c>
      <c r="AJ158">
        <v>1.04145</v>
      </c>
      <c r="AK158">
        <v>0.45979999999999999</v>
      </c>
      <c r="AL158">
        <v>34.43</v>
      </c>
      <c r="AM158">
        <v>34429</v>
      </c>
      <c r="AN158">
        <v>3.6783000000000001</v>
      </c>
      <c r="AO158">
        <v>30</v>
      </c>
      <c r="AP158">
        <v>21.87</v>
      </c>
      <c r="AQ158">
        <v>0.72</v>
      </c>
      <c r="AR158">
        <v>-5.99</v>
      </c>
      <c r="AS158">
        <v>1.96</v>
      </c>
      <c r="AT158">
        <v>32.619999999999997</v>
      </c>
      <c r="AU158">
        <v>6666.69</v>
      </c>
      <c r="AV158">
        <v>35.81</v>
      </c>
      <c r="AW158">
        <v>21.99</v>
      </c>
      <c r="AX158">
        <v>17.12</v>
      </c>
      <c r="AY158">
        <v>8.1544419999999995</v>
      </c>
      <c r="AZ158">
        <v>43.895214000000003</v>
      </c>
      <c r="BA158">
        <v>-21.978708000000001</v>
      </c>
      <c r="BB158">
        <v>-7.8210480000000002</v>
      </c>
      <c r="BC158">
        <v>21.978708000000001</v>
      </c>
      <c r="BD158">
        <v>14.417468</v>
      </c>
      <c r="BE158">
        <v>123.567274</v>
      </c>
      <c r="BF158">
        <v>-16.973375999999998</v>
      </c>
      <c r="BG158">
        <v>1.2816419999999999</v>
      </c>
      <c r="BH158">
        <v>16.973375999999998</v>
      </c>
    </row>
    <row r="159" spans="1:60" x14ac:dyDescent="0.25">
      <c r="A159" t="s">
        <v>375</v>
      </c>
      <c r="B159" t="s">
        <v>376</v>
      </c>
      <c r="C159">
        <v>24</v>
      </c>
      <c r="D159" t="s">
        <v>314</v>
      </c>
      <c r="E159" cm="1">
        <f t="array" ref="E159">_xlfn.SWITCH(D159,"QPSK",0.1,"16QAM",0.25,"64QAM",0.5,"256QAM",0.8,"1024QAM",1,"")</f>
        <v>0.5</v>
      </c>
      <c r="F159" cm="1">
        <f t="array" ref="F159">_xlfn.SWITCH(D159,"QPSK",0.05,"16QAM",0.15,"64QAM",0.4,"256QAM",0.75,"1024QAM",1,"")</f>
        <v>0.4</v>
      </c>
      <c r="G159" t="s">
        <v>60</v>
      </c>
      <c r="H159">
        <v>4</v>
      </c>
      <c r="I159" t="s">
        <v>61</v>
      </c>
      <c r="J159">
        <v>2</v>
      </c>
      <c r="K159">
        <v>2</v>
      </c>
      <c r="L159" t="s">
        <v>62</v>
      </c>
      <c r="M159">
        <v>2</v>
      </c>
      <c r="N159">
        <v>0.47849999999999998</v>
      </c>
      <c r="O159">
        <v>0.4788</v>
      </c>
      <c r="P159">
        <v>5000</v>
      </c>
      <c r="Q159">
        <v>4780</v>
      </c>
      <c r="R159">
        <v>220</v>
      </c>
      <c r="S159">
        <v>1.05</v>
      </c>
      <c r="T159">
        <v>0.05</v>
      </c>
      <c r="W159">
        <v>4780</v>
      </c>
      <c r="X159">
        <v>0</v>
      </c>
      <c r="Y159">
        <v>4.4000000000000004</v>
      </c>
      <c r="Z159">
        <v>0</v>
      </c>
      <c r="AB159">
        <v>179280000</v>
      </c>
      <c r="AC159">
        <v>171391680</v>
      </c>
      <c r="AD159">
        <v>179280000</v>
      </c>
      <c r="AE159">
        <v>171391680</v>
      </c>
      <c r="AG159">
        <v>100</v>
      </c>
      <c r="AH159">
        <v>95.6</v>
      </c>
      <c r="AI159">
        <v>1</v>
      </c>
      <c r="AJ159">
        <v>1.046025</v>
      </c>
      <c r="AK159">
        <v>0.45779999999999998</v>
      </c>
      <c r="AL159">
        <v>34.28</v>
      </c>
      <c r="AM159">
        <v>34278</v>
      </c>
      <c r="AN159">
        <v>3.6621999999999999</v>
      </c>
      <c r="AO159">
        <v>30</v>
      </c>
      <c r="AP159">
        <v>21.87</v>
      </c>
      <c r="AQ159">
        <v>0.72</v>
      </c>
      <c r="AR159">
        <v>-5.99</v>
      </c>
      <c r="AS159">
        <v>1.96</v>
      </c>
      <c r="AT159">
        <v>32.369999999999997</v>
      </c>
      <c r="AU159">
        <v>6666.69</v>
      </c>
      <c r="AV159">
        <v>35.81</v>
      </c>
      <c r="AW159">
        <v>21.99</v>
      </c>
      <c r="AX159">
        <v>17.12</v>
      </c>
      <c r="AY159">
        <v>8.157432</v>
      </c>
      <c r="AZ159">
        <v>43.920948000000003</v>
      </c>
      <c r="BA159">
        <v>-21.977323999999999</v>
      </c>
      <c r="BB159">
        <v>-7.8100319999999996</v>
      </c>
      <c r="BC159">
        <v>21.977323999999999</v>
      </c>
      <c r="BD159">
        <v>14.419226</v>
      </c>
      <c r="BE159">
        <v>122.724722</v>
      </c>
      <c r="BF159">
        <v>-16.973645999999999</v>
      </c>
      <c r="BG159">
        <v>1.206412</v>
      </c>
      <c r="BH159">
        <v>16.973645999999999</v>
      </c>
    </row>
    <row r="160" spans="1:60" x14ac:dyDescent="0.25">
      <c r="A160" t="s">
        <v>377</v>
      </c>
      <c r="B160" t="s">
        <v>378</v>
      </c>
      <c r="C160">
        <v>24</v>
      </c>
      <c r="D160" t="s">
        <v>314</v>
      </c>
      <c r="E160" cm="1">
        <f t="array" ref="E160">_xlfn.SWITCH(D160,"QPSK",0.1,"16QAM",0.25,"64QAM",0.5,"256QAM",0.8,"1024QAM",1,"")</f>
        <v>0.5</v>
      </c>
      <c r="F160" cm="1">
        <f t="array" ref="F160">_xlfn.SWITCH(D160,"QPSK",0.05,"16QAM",0.15,"64QAM",0.4,"256QAM",0.75,"1024QAM",1,"")</f>
        <v>0.4</v>
      </c>
      <c r="G160" t="s">
        <v>60</v>
      </c>
      <c r="H160">
        <v>8</v>
      </c>
      <c r="I160" t="s">
        <v>61</v>
      </c>
      <c r="J160">
        <v>2</v>
      </c>
      <c r="K160">
        <v>2</v>
      </c>
      <c r="L160" t="s">
        <v>62</v>
      </c>
      <c r="M160">
        <v>2</v>
      </c>
      <c r="N160">
        <v>0.47849999999999998</v>
      </c>
      <c r="O160">
        <v>0.4788</v>
      </c>
      <c r="P160">
        <v>5000</v>
      </c>
      <c r="Q160">
        <v>4754</v>
      </c>
      <c r="R160">
        <v>246</v>
      </c>
      <c r="S160">
        <v>1.05</v>
      </c>
      <c r="T160">
        <v>0.05</v>
      </c>
      <c r="W160">
        <v>4754</v>
      </c>
      <c r="X160">
        <v>0</v>
      </c>
      <c r="Y160">
        <v>4.92</v>
      </c>
      <c r="Z160">
        <v>0</v>
      </c>
      <c r="AB160">
        <v>179280000</v>
      </c>
      <c r="AC160">
        <v>170459424</v>
      </c>
      <c r="AD160">
        <v>179280000</v>
      </c>
      <c r="AE160">
        <v>170459424</v>
      </c>
      <c r="AG160">
        <v>100</v>
      </c>
      <c r="AH160">
        <v>95.08</v>
      </c>
      <c r="AI160">
        <v>1</v>
      </c>
      <c r="AJ160">
        <v>1.0517460000000001</v>
      </c>
      <c r="AK160">
        <v>0.45529999999999998</v>
      </c>
      <c r="AL160">
        <v>34.090000000000003</v>
      </c>
      <c r="AM160">
        <v>34092</v>
      </c>
      <c r="AN160">
        <v>3.6423000000000001</v>
      </c>
      <c r="AO160">
        <v>30</v>
      </c>
      <c r="AP160">
        <v>21.87</v>
      </c>
      <c r="AQ160">
        <v>0.72</v>
      </c>
      <c r="AR160">
        <v>-5.99</v>
      </c>
      <c r="AS160">
        <v>1.96</v>
      </c>
      <c r="AT160">
        <v>32.479999999999997</v>
      </c>
      <c r="AU160">
        <v>6666.69</v>
      </c>
      <c r="AV160">
        <v>35.81</v>
      </c>
      <c r="AW160">
        <v>21.99</v>
      </c>
      <c r="AX160">
        <v>17.12</v>
      </c>
      <c r="AY160">
        <v>8.1594960000000007</v>
      </c>
      <c r="AZ160">
        <v>44.109985999999999</v>
      </c>
      <c r="BA160">
        <v>-21.974754000000001</v>
      </c>
      <c r="BB160">
        <v>-7.7645140000000001</v>
      </c>
      <c r="BC160">
        <v>21.974754000000001</v>
      </c>
      <c r="BD160">
        <v>14.424645999999999</v>
      </c>
      <c r="BE160">
        <v>123.21391199999999</v>
      </c>
      <c r="BF160">
        <v>-16.970701999999999</v>
      </c>
      <c r="BG160">
        <v>1.2379039999999999</v>
      </c>
      <c r="BH160">
        <v>16.970701999999999</v>
      </c>
    </row>
    <row r="161" spans="1:60" x14ac:dyDescent="0.25">
      <c r="A161" t="s">
        <v>379</v>
      </c>
      <c r="B161" t="s">
        <v>380</v>
      </c>
      <c r="C161">
        <v>4</v>
      </c>
      <c r="D161" t="s">
        <v>314</v>
      </c>
      <c r="E161" cm="1">
        <f t="array" ref="E161">_xlfn.SWITCH(D161,"QPSK",0.1,"16QAM",0.25,"64QAM",0.5,"256QAM",0.8,"1024QAM",1,"")</f>
        <v>0.5</v>
      </c>
      <c r="F161" cm="1">
        <f t="array" ref="F161">_xlfn.SWITCH(D161,"QPSK",0.05,"16QAM",0.15,"64QAM",0.4,"256QAM",0.75,"1024QAM",1,"")</f>
        <v>0.4</v>
      </c>
      <c r="G161" t="s">
        <v>60</v>
      </c>
      <c r="H161">
        <v>1</v>
      </c>
      <c r="I161" t="s">
        <v>61</v>
      </c>
      <c r="J161">
        <v>2</v>
      </c>
      <c r="K161">
        <v>2</v>
      </c>
      <c r="L161" t="s">
        <v>62</v>
      </c>
      <c r="M161">
        <v>2</v>
      </c>
      <c r="N161">
        <v>0.47849999999999998</v>
      </c>
      <c r="O161">
        <v>0.4788</v>
      </c>
      <c r="P161">
        <v>5000</v>
      </c>
      <c r="Q161">
        <v>1301</v>
      </c>
      <c r="R161">
        <v>3699</v>
      </c>
      <c r="S161">
        <v>3.84</v>
      </c>
      <c r="T161">
        <v>2.84</v>
      </c>
      <c r="W161">
        <v>423</v>
      </c>
      <c r="X161">
        <v>0</v>
      </c>
      <c r="Y161">
        <v>91.54</v>
      </c>
      <c r="Z161">
        <v>67.489999999999995</v>
      </c>
      <c r="AB161">
        <v>179280000</v>
      </c>
      <c r="AC161">
        <v>15167088</v>
      </c>
      <c r="AD161">
        <v>179280000</v>
      </c>
      <c r="AE161">
        <v>15167088</v>
      </c>
      <c r="AG161">
        <v>32.51</v>
      </c>
      <c r="AH161">
        <v>8.4600000000000009</v>
      </c>
      <c r="AI161">
        <v>1</v>
      </c>
      <c r="AJ161">
        <v>3.8431980000000001</v>
      </c>
      <c r="AK161">
        <v>4.0500000000000001E-2</v>
      </c>
      <c r="AL161">
        <v>3.03</v>
      </c>
      <c r="AM161">
        <v>3033</v>
      </c>
      <c r="AN161">
        <v>0.3241</v>
      </c>
      <c r="AO161">
        <v>30</v>
      </c>
      <c r="AP161">
        <v>21.87</v>
      </c>
      <c r="AQ161">
        <v>0.72</v>
      </c>
      <c r="AR161">
        <v>-5.9</v>
      </c>
      <c r="AS161">
        <v>1.92</v>
      </c>
      <c r="AT161">
        <v>16.309999999999999</v>
      </c>
      <c r="AU161">
        <v>6666.69</v>
      </c>
      <c r="AV161">
        <v>35.81</v>
      </c>
      <c r="AW161">
        <v>15.66</v>
      </c>
      <c r="AX161">
        <v>12.9</v>
      </c>
      <c r="AY161">
        <v>18.847912000000001</v>
      </c>
      <c r="AZ161">
        <v>115.607974</v>
      </c>
      <c r="BA161">
        <v>-14.540433999999999</v>
      </c>
      <c r="BB161">
        <v>1.0851420000000001</v>
      </c>
      <c r="BC161">
        <v>14.540433999999999</v>
      </c>
      <c r="BD161">
        <v>27.654520000000002</v>
      </c>
      <c r="BE161">
        <v>213.762056</v>
      </c>
      <c r="BF161">
        <v>-11.263244</v>
      </c>
      <c r="BG161">
        <v>6.3057800000000004</v>
      </c>
      <c r="BH161">
        <v>11.263244</v>
      </c>
    </row>
    <row r="162" spans="1:60" x14ac:dyDescent="0.25">
      <c r="A162" t="s">
        <v>381</v>
      </c>
      <c r="B162" t="s">
        <v>382</v>
      </c>
      <c r="C162">
        <v>4</v>
      </c>
      <c r="D162" t="s">
        <v>314</v>
      </c>
      <c r="E162" cm="1">
        <f t="array" ref="E162">_xlfn.SWITCH(D162,"QPSK",0.1,"16QAM",0.25,"64QAM",0.5,"256QAM",0.8,"1024QAM",1,"")</f>
        <v>0.5</v>
      </c>
      <c r="F162" cm="1">
        <f t="array" ref="F162">_xlfn.SWITCH(D162,"QPSK",0.05,"16QAM",0.15,"64QAM",0.4,"256QAM",0.75,"1024QAM",1,"")</f>
        <v>0.4</v>
      </c>
      <c r="G162" t="s">
        <v>60</v>
      </c>
      <c r="H162">
        <v>4</v>
      </c>
      <c r="I162" t="s">
        <v>61</v>
      </c>
      <c r="J162">
        <v>2</v>
      </c>
      <c r="K162">
        <v>2</v>
      </c>
      <c r="L162" t="s">
        <v>62</v>
      </c>
      <c r="M162">
        <v>2</v>
      </c>
      <c r="N162">
        <v>0.47849999999999998</v>
      </c>
      <c r="O162">
        <v>0.4788</v>
      </c>
      <c r="P162">
        <v>5000</v>
      </c>
      <c r="Q162">
        <v>1301</v>
      </c>
      <c r="R162">
        <v>3699</v>
      </c>
      <c r="S162">
        <v>3.84</v>
      </c>
      <c r="T162">
        <v>2.84</v>
      </c>
      <c r="W162">
        <v>420</v>
      </c>
      <c r="X162">
        <v>0</v>
      </c>
      <c r="Y162">
        <v>91.6</v>
      </c>
      <c r="Z162">
        <v>67.72</v>
      </c>
      <c r="AB162">
        <v>179280000</v>
      </c>
      <c r="AC162">
        <v>15059520</v>
      </c>
      <c r="AD162">
        <v>179280000</v>
      </c>
      <c r="AE162">
        <v>15059520</v>
      </c>
      <c r="AG162">
        <v>32.28</v>
      </c>
      <c r="AH162">
        <v>8.4</v>
      </c>
      <c r="AI162">
        <v>1</v>
      </c>
      <c r="AJ162">
        <v>3.8431980000000001</v>
      </c>
      <c r="AK162">
        <v>4.02E-2</v>
      </c>
      <c r="AL162">
        <v>3.01</v>
      </c>
      <c r="AM162">
        <v>3012</v>
      </c>
      <c r="AN162">
        <v>0.32179999999999997</v>
      </c>
      <c r="AO162">
        <v>30</v>
      </c>
      <c r="AP162">
        <v>21.87</v>
      </c>
      <c r="AQ162">
        <v>0.72</v>
      </c>
      <c r="AR162">
        <v>-5.89</v>
      </c>
      <c r="AS162">
        <v>1.92</v>
      </c>
      <c r="AT162">
        <v>16.12</v>
      </c>
      <c r="AU162">
        <v>6666.69</v>
      </c>
      <c r="AV162">
        <v>35.81</v>
      </c>
      <c r="AW162">
        <v>15.65</v>
      </c>
      <c r="AX162">
        <v>12.89</v>
      </c>
      <c r="AY162">
        <v>18.84956</v>
      </c>
      <c r="AZ162">
        <v>115.82145</v>
      </c>
      <c r="BA162">
        <v>-14.539474</v>
      </c>
      <c r="BB162">
        <v>1.0974280000000001</v>
      </c>
      <c r="BC162">
        <v>14.539474</v>
      </c>
      <c r="BD162">
        <v>27.653417999999999</v>
      </c>
      <c r="BE162">
        <v>213.936162</v>
      </c>
      <c r="BF162">
        <v>-11.263237999999999</v>
      </c>
      <c r="BG162">
        <v>6.3206100000000003</v>
      </c>
      <c r="BH162">
        <v>11.263237999999999</v>
      </c>
    </row>
    <row r="163" spans="1:60" x14ac:dyDescent="0.25">
      <c r="A163" t="s">
        <v>383</v>
      </c>
      <c r="B163" t="s">
        <v>384</v>
      </c>
      <c r="C163">
        <v>4</v>
      </c>
      <c r="D163" t="s">
        <v>314</v>
      </c>
      <c r="E163" cm="1">
        <f t="array" ref="E163">_xlfn.SWITCH(D163,"QPSK",0.1,"16QAM",0.25,"64QAM",0.5,"256QAM",0.8,"1024QAM",1,"")</f>
        <v>0.5</v>
      </c>
      <c r="F163" cm="1">
        <f t="array" ref="F163">_xlfn.SWITCH(D163,"QPSK",0.05,"16QAM",0.15,"64QAM",0.4,"256QAM",0.75,"1024QAM",1,"")</f>
        <v>0.4</v>
      </c>
      <c r="G163" t="s">
        <v>60</v>
      </c>
      <c r="H163">
        <v>8</v>
      </c>
      <c r="I163" t="s">
        <v>61</v>
      </c>
      <c r="J163">
        <v>2</v>
      </c>
      <c r="K163">
        <v>2</v>
      </c>
      <c r="L163" t="s">
        <v>62</v>
      </c>
      <c r="M163">
        <v>2</v>
      </c>
      <c r="N163">
        <v>0.47849999999999998</v>
      </c>
      <c r="O163">
        <v>0.4788</v>
      </c>
      <c r="P163">
        <v>5000</v>
      </c>
      <c r="Q163">
        <v>1292</v>
      </c>
      <c r="R163">
        <v>3708</v>
      </c>
      <c r="S163">
        <v>3.87</v>
      </c>
      <c r="T163">
        <v>2.87</v>
      </c>
      <c r="W163">
        <v>405</v>
      </c>
      <c r="X163">
        <v>0</v>
      </c>
      <c r="Y163">
        <v>91.9</v>
      </c>
      <c r="Z163">
        <v>68.650000000000006</v>
      </c>
      <c r="AB163">
        <v>179280000</v>
      </c>
      <c r="AC163">
        <v>14521680</v>
      </c>
      <c r="AD163">
        <v>179280000</v>
      </c>
      <c r="AE163">
        <v>14521680</v>
      </c>
      <c r="AG163">
        <v>31.35</v>
      </c>
      <c r="AH163">
        <v>8.1</v>
      </c>
      <c r="AI163">
        <v>1</v>
      </c>
      <c r="AJ163">
        <v>3.8699690000000002</v>
      </c>
      <c r="AK163">
        <v>3.8800000000000001E-2</v>
      </c>
      <c r="AL163">
        <v>2.9</v>
      </c>
      <c r="AM163">
        <v>2904</v>
      </c>
      <c r="AN163">
        <v>0.31030000000000002</v>
      </c>
      <c r="AO163">
        <v>30</v>
      </c>
      <c r="AP163">
        <v>21.87</v>
      </c>
      <c r="AQ163">
        <v>0.72</v>
      </c>
      <c r="AR163">
        <v>-5.89</v>
      </c>
      <c r="AS163">
        <v>1.92</v>
      </c>
      <c r="AT163">
        <v>16.170000000000002</v>
      </c>
      <c r="AU163">
        <v>6666.69</v>
      </c>
      <c r="AV163">
        <v>35.81</v>
      </c>
      <c r="AW163">
        <v>15.65</v>
      </c>
      <c r="AX163">
        <v>12.89</v>
      </c>
      <c r="AY163">
        <v>18.850715999999998</v>
      </c>
      <c r="AZ163">
        <v>115.53654400000001</v>
      </c>
      <c r="BA163">
        <v>-14.539142</v>
      </c>
      <c r="BB163">
        <v>1.076592</v>
      </c>
      <c r="BC163">
        <v>14.539142</v>
      </c>
      <c r="BD163">
        <v>27.657716000000001</v>
      </c>
      <c r="BE163">
        <v>213.951864</v>
      </c>
      <c r="BF163">
        <v>-11.262302</v>
      </c>
      <c r="BG163">
        <v>6.3153280000000001</v>
      </c>
      <c r="BH163">
        <v>11.262302</v>
      </c>
    </row>
    <row r="164" spans="1:60" x14ac:dyDescent="0.25">
      <c r="A164" t="s">
        <v>385</v>
      </c>
      <c r="B164" t="s">
        <v>386</v>
      </c>
      <c r="C164">
        <v>6</v>
      </c>
      <c r="D164" t="s">
        <v>314</v>
      </c>
      <c r="E164" cm="1">
        <f t="array" ref="E164">_xlfn.SWITCH(D164,"QPSK",0.1,"16QAM",0.25,"64QAM",0.5,"256QAM",0.8,"1024QAM",1,"")</f>
        <v>0.5</v>
      </c>
      <c r="F164" cm="1">
        <f t="array" ref="F164">_xlfn.SWITCH(D164,"QPSK",0.05,"16QAM",0.15,"64QAM",0.4,"256QAM",0.75,"1024QAM",1,"")</f>
        <v>0.4</v>
      </c>
      <c r="G164" t="s">
        <v>60</v>
      </c>
      <c r="H164">
        <v>1</v>
      </c>
      <c r="I164" t="s">
        <v>61</v>
      </c>
      <c r="J164">
        <v>2</v>
      </c>
      <c r="K164">
        <v>2</v>
      </c>
      <c r="L164" t="s">
        <v>62</v>
      </c>
      <c r="M164">
        <v>2</v>
      </c>
      <c r="N164">
        <v>0.47849999999999998</v>
      </c>
      <c r="O164">
        <v>0.4788</v>
      </c>
      <c r="P164">
        <v>5000</v>
      </c>
      <c r="Q164">
        <v>1442</v>
      </c>
      <c r="R164">
        <v>3558</v>
      </c>
      <c r="S164">
        <v>3.47</v>
      </c>
      <c r="T164">
        <v>2.4700000000000002</v>
      </c>
      <c r="W164">
        <v>939</v>
      </c>
      <c r="X164">
        <v>0</v>
      </c>
      <c r="Y164">
        <v>81.22</v>
      </c>
      <c r="Z164">
        <v>34.880000000000003</v>
      </c>
      <c r="AB164">
        <v>179280000</v>
      </c>
      <c r="AC164">
        <v>33668784</v>
      </c>
      <c r="AD164">
        <v>179280000</v>
      </c>
      <c r="AE164">
        <v>33668784</v>
      </c>
      <c r="AG164">
        <v>65.12</v>
      </c>
      <c r="AH164">
        <v>18.78</v>
      </c>
      <c r="AI164">
        <v>1</v>
      </c>
      <c r="AJ164">
        <v>3.467406</v>
      </c>
      <c r="AK164">
        <v>8.9899999999999994E-2</v>
      </c>
      <c r="AL164">
        <v>6.73</v>
      </c>
      <c r="AM164">
        <v>6734</v>
      </c>
      <c r="AN164">
        <v>0.71940000000000004</v>
      </c>
      <c r="AO164">
        <v>30</v>
      </c>
      <c r="AP164">
        <v>21.87</v>
      </c>
      <c r="AQ164">
        <v>0.72</v>
      </c>
      <c r="AR164">
        <v>-5.93</v>
      </c>
      <c r="AS164">
        <v>1.95</v>
      </c>
      <c r="AT164">
        <v>19.16</v>
      </c>
      <c r="AU164">
        <v>6666.69</v>
      </c>
      <c r="AV164">
        <v>35.81</v>
      </c>
      <c r="AW164">
        <v>16.010000000000002</v>
      </c>
      <c r="AX164">
        <v>13.62</v>
      </c>
      <c r="AY164">
        <v>17.381682000000001</v>
      </c>
      <c r="AZ164">
        <v>100.745164</v>
      </c>
      <c r="BA164">
        <v>-15.240055999999999</v>
      </c>
      <c r="BB164">
        <v>-0.14833399999999999</v>
      </c>
      <c r="BC164">
        <v>15.240055999999999</v>
      </c>
      <c r="BD164">
        <v>26.140357999999999</v>
      </c>
      <c r="BE164">
        <v>194.57093</v>
      </c>
      <c r="BF164">
        <v>-11.769373999999999</v>
      </c>
      <c r="BG164">
        <v>5.4719959999999999</v>
      </c>
      <c r="BH164">
        <v>11.769373999999999</v>
      </c>
    </row>
    <row r="165" spans="1:60" x14ac:dyDescent="0.25">
      <c r="A165" t="s">
        <v>387</v>
      </c>
      <c r="B165" t="s">
        <v>388</v>
      </c>
      <c r="C165">
        <v>6</v>
      </c>
      <c r="D165" t="s">
        <v>314</v>
      </c>
      <c r="E165" cm="1">
        <f t="array" ref="E165">_xlfn.SWITCH(D165,"QPSK",0.1,"16QAM",0.25,"64QAM",0.5,"256QAM",0.8,"1024QAM",1,"")</f>
        <v>0.5</v>
      </c>
      <c r="F165" cm="1">
        <f t="array" ref="F165">_xlfn.SWITCH(D165,"QPSK",0.05,"16QAM",0.15,"64QAM",0.4,"256QAM",0.75,"1024QAM",1,"")</f>
        <v>0.4</v>
      </c>
      <c r="G165" t="s">
        <v>60</v>
      </c>
      <c r="H165">
        <v>4</v>
      </c>
      <c r="I165" t="s">
        <v>61</v>
      </c>
      <c r="J165">
        <v>2</v>
      </c>
      <c r="K165">
        <v>2</v>
      </c>
      <c r="L165" t="s">
        <v>62</v>
      </c>
      <c r="M165">
        <v>2</v>
      </c>
      <c r="N165">
        <v>0.47849999999999998</v>
      </c>
      <c r="O165">
        <v>0.4788</v>
      </c>
      <c r="P165">
        <v>5000</v>
      </c>
      <c r="Q165">
        <v>1435</v>
      </c>
      <c r="R165">
        <v>3565</v>
      </c>
      <c r="S165">
        <v>3.48</v>
      </c>
      <c r="T165">
        <v>2.48</v>
      </c>
      <c r="W165">
        <v>927</v>
      </c>
      <c r="X165">
        <v>0</v>
      </c>
      <c r="Y165">
        <v>81.459999999999994</v>
      </c>
      <c r="Z165">
        <v>35.4</v>
      </c>
      <c r="AB165">
        <v>179280000</v>
      </c>
      <c r="AC165">
        <v>33238512</v>
      </c>
      <c r="AD165">
        <v>179280000</v>
      </c>
      <c r="AE165">
        <v>33238512</v>
      </c>
      <c r="AG165">
        <v>64.599999999999994</v>
      </c>
      <c r="AH165">
        <v>18.54</v>
      </c>
      <c r="AI165">
        <v>1</v>
      </c>
      <c r="AJ165">
        <v>3.484321</v>
      </c>
      <c r="AK165">
        <v>8.8800000000000004E-2</v>
      </c>
      <c r="AL165">
        <v>6.65</v>
      </c>
      <c r="AM165">
        <v>6648</v>
      </c>
      <c r="AN165">
        <v>0.71020000000000005</v>
      </c>
      <c r="AO165">
        <v>30</v>
      </c>
      <c r="AP165">
        <v>21.87</v>
      </c>
      <c r="AQ165">
        <v>0.72</v>
      </c>
      <c r="AR165">
        <v>-5.93</v>
      </c>
      <c r="AS165">
        <v>1.95</v>
      </c>
      <c r="AT165">
        <v>18.96</v>
      </c>
      <c r="AU165">
        <v>6666.69</v>
      </c>
      <c r="AV165">
        <v>35.81</v>
      </c>
      <c r="AW165">
        <v>16.010000000000002</v>
      </c>
      <c r="AX165">
        <v>13.62</v>
      </c>
      <c r="AY165">
        <v>17.385453999999999</v>
      </c>
      <c r="AZ165">
        <v>100.740302</v>
      </c>
      <c r="BA165">
        <v>-15.238365999999999</v>
      </c>
      <c r="BB165">
        <v>-0.13850599999999999</v>
      </c>
      <c r="BC165">
        <v>15.238365999999999</v>
      </c>
      <c r="BD165">
        <v>26.142258000000002</v>
      </c>
      <c r="BE165">
        <v>194.334892</v>
      </c>
      <c r="BF165">
        <v>-11.769145999999999</v>
      </c>
      <c r="BG165">
        <v>5.459924</v>
      </c>
      <c r="BH165">
        <v>11.769145999999999</v>
      </c>
    </row>
    <row r="166" spans="1:60" x14ac:dyDescent="0.25">
      <c r="A166" t="s">
        <v>389</v>
      </c>
      <c r="B166" t="s">
        <v>390</v>
      </c>
      <c r="C166">
        <v>6</v>
      </c>
      <c r="D166" t="s">
        <v>314</v>
      </c>
      <c r="E166" cm="1">
        <f t="array" ref="E166">_xlfn.SWITCH(D166,"QPSK",0.1,"16QAM",0.25,"64QAM",0.5,"256QAM",0.8,"1024QAM",1,"")</f>
        <v>0.5</v>
      </c>
      <c r="F166" cm="1">
        <f t="array" ref="F166">_xlfn.SWITCH(D166,"QPSK",0.05,"16QAM",0.15,"64QAM",0.4,"256QAM",0.75,"1024QAM",1,"")</f>
        <v>0.4</v>
      </c>
      <c r="G166" t="s">
        <v>60</v>
      </c>
      <c r="H166">
        <v>8</v>
      </c>
      <c r="I166" t="s">
        <v>61</v>
      </c>
      <c r="J166">
        <v>2</v>
      </c>
      <c r="K166">
        <v>2</v>
      </c>
      <c r="L166" t="s">
        <v>62</v>
      </c>
      <c r="M166">
        <v>2</v>
      </c>
      <c r="N166">
        <v>0.47849999999999998</v>
      </c>
      <c r="O166">
        <v>0.4788</v>
      </c>
      <c r="P166">
        <v>5000</v>
      </c>
      <c r="Q166">
        <v>1426</v>
      </c>
      <c r="R166">
        <v>3574</v>
      </c>
      <c r="S166">
        <v>3.51</v>
      </c>
      <c r="T166">
        <v>2.5099999999999998</v>
      </c>
      <c r="W166">
        <v>925</v>
      </c>
      <c r="X166">
        <v>0</v>
      </c>
      <c r="Y166">
        <v>81.5</v>
      </c>
      <c r="Z166">
        <v>35.130000000000003</v>
      </c>
      <c r="AB166">
        <v>179280000</v>
      </c>
      <c r="AC166">
        <v>33166800</v>
      </c>
      <c r="AD166">
        <v>179280000</v>
      </c>
      <c r="AE166">
        <v>33166800</v>
      </c>
      <c r="AG166">
        <v>64.87</v>
      </c>
      <c r="AH166">
        <v>18.5</v>
      </c>
      <c r="AI166">
        <v>1</v>
      </c>
      <c r="AJ166">
        <v>3.5063110000000002</v>
      </c>
      <c r="AK166">
        <v>8.8599999999999998E-2</v>
      </c>
      <c r="AL166">
        <v>6.63</v>
      </c>
      <c r="AM166">
        <v>6633</v>
      </c>
      <c r="AN166">
        <v>0.7087</v>
      </c>
      <c r="AO166">
        <v>30</v>
      </c>
      <c r="AP166">
        <v>21.87</v>
      </c>
      <c r="AQ166">
        <v>0.72</v>
      </c>
      <c r="AR166">
        <v>-5.93</v>
      </c>
      <c r="AS166">
        <v>1.95</v>
      </c>
      <c r="AT166">
        <v>19.309999999999999</v>
      </c>
      <c r="AU166">
        <v>6666.69</v>
      </c>
      <c r="AV166">
        <v>35.81</v>
      </c>
      <c r="AW166">
        <v>16.010000000000002</v>
      </c>
      <c r="AX166">
        <v>13.61</v>
      </c>
      <c r="AY166">
        <v>17.383074000000001</v>
      </c>
      <c r="AZ166">
        <v>100.804258</v>
      </c>
      <c r="BA166">
        <v>-15.239362</v>
      </c>
      <c r="BB166">
        <v>-0.13594400000000001</v>
      </c>
      <c r="BC166">
        <v>15.239362</v>
      </c>
      <c r="BD166">
        <v>26.150496</v>
      </c>
      <c r="BE166">
        <v>194.599728</v>
      </c>
      <c r="BF166">
        <v>-11.767026</v>
      </c>
      <c r="BG166">
        <v>5.4721820000000001</v>
      </c>
      <c r="BH166">
        <v>11.767026</v>
      </c>
    </row>
    <row r="167" spans="1:60" x14ac:dyDescent="0.25">
      <c r="A167" t="s">
        <v>391</v>
      </c>
      <c r="B167" t="s">
        <v>392</v>
      </c>
      <c r="C167">
        <v>8</v>
      </c>
      <c r="D167" t="s">
        <v>314</v>
      </c>
      <c r="E167" cm="1">
        <f t="array" ref="E167">_xlfn.SWITCH(D167,"QPSK",0.1,"16QAM",0.25,"64QAM",0.5,"256QAM",0.8,"1024QAM",1,"")</f>
        <v>0.5</v>
      </c>
      <c r="F167" cm="1">
        <f t="array" ref="F167">_xlfn.SWITCH(D167,"QPSK",0.05,"16QAM",0.15,"64QAM",0.4,"256QAM",0.75,"1024QAM",1,"")</f>
        <v>0.4</v>
      </c>
      <c r="G167" t="s">
        <v>60</v>
      </c>
      <c r="H167">
        <v>1</v>
      </c>
      <c r="I167" t="s">
        <v>61</v>
      </c>
      <c r="J167">
        <v>2</v>
      </c>
      <c r="K167">
        <v>2</v>
      </c>
      <c r="L167" t="s">
        <v>62</v>
      </c>
      <c r="M167">
        <v>2</v>
      </c>
      <c r="N167">
        <v>0.47849999999999998</v>
      </c>
      <c r="O167">
        <v>0.4788</v>
      </c>
      <c r="P167">
        <v>5000</v>
      </c>
      <c r="Q167">
        <v>1721</v>
      </c>
      <c r="R167">
        <v>3279</v>
      </c>
      <c r="S167">
        <v>2.91</v>
      </c>
      <c r="T167">
        <v>1.91</v>
      </c>
      <c r="W167">
        <v>1504</v>
      </c>
      <c r="X167">
        <v>0</v>
      </c>
      <c r="Y167">
        <v>69.92</v>
      </c>
      <c r="Z167">
        <v>12.61</v>
      </c>
      <c r="AB167">
        <v>179280000</v>
      </c>
      <c r="AC167">
        <v>53927424</v>
      </c>
      <c r="AD167">
        <v>179280000</v>
      </c>
      <c r="AE167">
        <v>53927424</v>
      </c>
      <c r="AG167">
        <v>87.39</v>
      </c>
      <c r="AH167">
        <v>30.08</v>
      </c>
      <c r="AI167">
        <v>1</v>
      </c>
      <c r="AJ167">
        <v>2.9052880000000001</v>
      </c>
      <c r="AK167">
        <v>0.14399999999999999</v>
      </c>
      <c r="AL167">
        <v>10.79</v>
      </c>
      <c r="AM167">
        <v>10785</v>
      </c>
      <c r="AN167">
        <v>1.1523000000000001</v>
      </c>
      <c r="AO167">
        <v>30</v>
      </c>
      <c r="AP167">
        <v>21.87</v>
      </c>
      <c r="AQ167">
        <v>0.72</v>
      </c>
      <c r="AR167">
        <v>-5.94</v>
      </c>
      <c r="AS167">
        <v>1.97</v>
      </c>
      <c r="AT167">
        <v>21.62</v>
      </c>
      <c r="AU167">
        <v>6666.69</v>
      </c>
      <c r="AV167">
        <v>35.81</v>
      </c>
      <c r="AW167">
        <v>16.32</v>
      </c>
      <c r="AX167">
        <v>14.15</v>
      </c>
      <c r="AY167">
        <v>16.233733999999998</v>
      </c>
      <c r="AZ167">
        <v>91.105632</v>
      </c>
      <c r="BA167">
        <v>-15.827434</v>
      </c>
      <c r="BB167">
        <v>-1.105696</v>
      </c>
      <c r="BC167">
        <v>15.827434</v>
      </c>
      <c r="BD167">
        <v>24.637537999999999</v>
      </c>
      <c r="BE167">
        <v>178.64</v>
      </c>
      <c r="BF167">
        <v>-12.291824</v>
      </c>
      <c r="BG167">
        <v>4.7553599999999996</v>
      </c>
      <c r="BH167">
        <v>12.291824</v>
      </c>
    </row>
    <row r="168" spans="1:60" x14ac:dyDescent="0.25">
      <c r="A168" t="s">
        <v>393</v>
      </c>
      <c r="B168" t="s">
        <v>394</v>
      </c>
      <c r="C168">
        <v>8</v>
      </c>
      <c r="D168" t="s">
        <v>314</v>
      </c>
      <c r="E168" cm="1">
        <f t="array" ref="E168">_xlfn.SWITCH(D168,"QPSK",0.1,"16QAM",0.25,"64QAM",0.5,"256QAM",0.8,"1024QAM",1,"")</f>
        <v>0.5</v>
      </c>
      <c r="F168" cm="1">
        <f t="array" ref="F168">_xlfn.SWITCH(D168,"QPSK",0.05,"16QAM",0.15,"64QAM",0.4,"256QAM",0.75,"1024QAM",1,"")</f>
        <v>0.4</v>
      </c>
      <c r="G168" t="s">
        <v>60</v>
      </c>
      <c r="H168">
        <v>4</v>
      </c>
      <c r="I168" t="s">
        <v>61</v>
      </c>
      <c r="J168">
        <v>2</v>
      </c>
      <c r="K168">
        <v>2</v>
      </c>
      <c r="L168" t="s">
        <v>62</v>
      </c>
      <c r="M168">
        <v>2</v>
      </c>
      <c r="N168">
        <v>0.47849999999999998</v>
      </c>
      <c r="O168">
        <v>0.4788</v>
      </c>
      <c r="P168">
        <v>5000</v>
      </c>
      <c r="Q168">
        <v>1703</v>
      </c>
      <c r="R168">
        <v>3297</v>
      </c>
      <c r="S168">
        <v>2.94</v>
      </c>
      <c r="T168">
        <v>1.94</v>
      </c>
      <c r="W168">
        <v>1496</v>
      </c>
      <c r="X168">
        <v>0</v>
      </c>
      <c r="Y168">
        <v>70.08</v>
      </c>
      <c r="Z168">
        <v>12.16</v>
      </c>
      <c r="AB168">
        <v>179280000</v>
      </c>
      <c r="AC168">
        <v>53640576</v>
      </c>
      <c r="AD168">
        <v>179280000</v>
      </c>
      <c r="AE168">
        <v>53640576</v>
      </c>
      <c r="AG168">
        <v>87.84</v>
      </c>
      <c r="AH168">
        <v>29.92</v>
      </c>
      <c r="AI168">
        <v>1</v>
      </c>
      <c r="AJ168">
        <v>2.9359950000000001</v>
      </c>
      <c r="AK168">
        <v>0.14330000000000001</v>
      </c>
      <c r="AL168">
        <v>10.73</v>
      </c>
      <c r="AM168">
        <v>10728</v>
      </c>
      <c r="AN168">
        <v>1.1462000000000001</v>
      </c>
      <c r="AO168">
        <v>30</v>
      </c>
      <c r="AP168">
        <v>21.87</v>
      </c>
      <c r="AQ168">
        <v>0.72</v>
      </c>
      <c r="AR168">
        <v>-5.94</v>
      </c>
      <c r="AS168">
        <v>1.97</v>
      </c>
      <c r="AT168">
        <v>21.35</v>
      </c>
      <c r="AU168">
        <v>6666.69</v>
      </c>
      <c r="AV168">
        <v>35.81</v>
      </c>
      <c r="AW168">
        <v>16.32</v>
      </c>
      <c r="AX168">
        <v>14.15</v>
      </c>
      <c r="AY168">
        <v>16.232682</v>
      </c>
      <c r="AZ168">
        <v>91.024935999999997</v>
      </c>
      <c r="BA168">
        <v>-15.828034000000001</v>
      </c>
      <c r="BB168">
        <v>-1.1238840000000001</v>
      </c>
      <c r="BC168">
        <v>15.828034000000001</v>
      </c>
      <c r="BD168">
        <v>24.630655999999998</v>
      </c>
      <c r="BE168">
        <v>179.354108</v>
      </c>
      <c r="BF168">
        <v>-12.293448</v>
      </c>
      <c r="BG168">
        <v>4.7910199999999996</v>
      </c>
      <c r="BH168">
        <v>12.293448</v>
      </c>
    </row>
    <row r="169" spans="1:60" x14ac:dyDescent="0.25">
      <c r="A169" t="s">
        <v>395</v>
      </c>
      <c r="B169" t="s">
        <v>396</v>
      </c>
      <c r="C169">
        <v>8</v>
      </c>
      <c r="D169" t="s">
        <v>314</v>
      </c>
      <c r="E169" cm="1">
        <f t="array" ref="E169">_xlfn.SWITCH(D169,"QPSK",0.1,"16QAM",0.25,"64QAM",0.5,"256QAM",0.8,"1024QAM",1,"")</f>
        <v>0.5</v>
      </c>
      <c r="F169" cm="1">
        <f t="array" ref="F169">_xlfn.SWITCH(D169,"QPSK",0.05,"16QAM",0.15,"64QAM",0.4,"256QAM",0.75,"1024QAM",1,"")</f>
        <v>0.4</v>
      </c>
      <c r="G169" t="s">
        <v>60</v>
      </c>
      <c r="H169">
        <v>8</v>
      </c>
      <c r="I169" t="s">
        <v>61</v>
      </c>
      <c r="J169">
        <v>2</v>
      </c>
      <c r="K169">
        <v>2</v>
      </c>
      <c r="L169" t="s">
        <v>62</v>
      </c>
      <c r="M169">
        <v>2</v>
      </c>
      <c r="N169">
        <v>0.47849999999999998</v>
      </c>
      <c r="O169">
        <v>0.4788</v>
      </c>
      <c r="P169">
        <v>5000</v>
      </c>
      <c r="Q169">
        <v>1702</v>
      </c>
      <c r="R169">
        <v>3298</v>
      </c>
      <c r="S169">
        <v>2.94</v>
      </c>
      <c r="T169">
        <v>1.94</v>
      </c>
      <c r="W169">
        <v>1531</v>
      </c>
      <c r="X169">
        <v>0</v>
      </c>
      <c r="Y169">
        <v>69.38</v>
      </c>
      <c r="Z169">
        <v>10.050000000000001</v>
      </c>
      <c r="AB169">
        <v>179280000</v>
      </c>
      <c r="AC169">
        <v>54895536</v>
      </c>
      <c r="AD169">
        <v>179280000</v>
      </c>
      <c r="AE169">
        <v>54895536</v>
      </c>
      <c r="AG169">
        <v>89.95</v>
      </c>
      <c r="AH169">
        <v>30.62</v>
      </c>
      <c r="AI169">
        <v>1</v>
      </c>
      <c r="AJ169">
        <v>2.9377200000000001</v>
      </c>
      <c r="AK169">
        <v>0.14660000000000001</v>
      </c>
      <c r="AL169">
        <v>10.98</v>
      </c>
      <c r="AM169">
        <v>10979</v>
      </c>
      <c r="AN169">
        <v>1.173</v>
      </c>
      <c r="AO169">
        <v>30</v>
      </c>
      <c r="AP169">
        <v>21.87</v>
      </c>
      <c r="AQ169">
        <v>0.72</v>
      </c>
      <c r="AR169">
        <v>-5.94</v>
      </c>
      <c r="AS169">
        <v>1.97</v>
      </c>
      <c r="AT169">
        <v>21.57</v>
      </c>
      <c r="AU169">
        <v>6666.69</v>
      </c>
      <c r="AV169">
        <v>35.81</v>
      </c>
      <c r="AW169">
        <v>16.32</v>
      </c>
      <c r="AX169">
        <v>14.15</v>
      </c>
      <c r="AY169">
        <v>16.226669999999999</v>
      </c>
      <c r="AZ169">
        <v>90.704033999999993</v>
      </c>
      <c r="BA169">
        <v>-15.831125999999999</v>
      </c>
      <c r="BB169">
        <v>-1.1449720000000001</v>
      </c>
      <c r="BC169">
        <v>15.831125999999999</v>
      </c>
      <c r="BD169">
        <v>24.640505999999998</v>
      </c>
      <c r="BE169">
        <v>179.31009</v>
      </c>
      <c r="BF169">
        <v>-12.291992</v>
      </c>
      <c r="BG169">
        <v>4.7819580000000004</v>
      </c>
      <c r="BH169">
        <v>12.291992</v>
      </c>
    </row>
    <row r="170" spans="1:60" x14ac:dyDescent="0.25">
      <c r="A170" t="s">
        <v>397</v>
      </c>
      <c r="B170" t="s">
        <v>398</v>
      </c>
      <c r="C170">
        <v>0</v>
      </c>
      <c r="D170" t="s">
        <v>399</v>
      </c>
      <c r="E170" cm="1">
        <f t="array" ref="E170">_xlfn.SWITCH(D170,"QPSK",0.1,"16QAM",0.25,"64QAM",0.5,"256QAM",0.8,"1024QAM",1,"")</f>
        <v>0.1</v>
      </c>
      <c r="F170" cm="1">
        <f t="array" ref="F170">_xlfn.SWITCH(D170,"QPSK",0.05,"16QAM",0.15,"64QAM",0.4,"256QAM",0.75,"1024QAM",1,"")</f>
        <v>0.05</v>
      </c>
      <c r="G170" t="s">
        <v>60</v>
      </c>
      <c r="H170">
        <v>1</v>
      </c>
      <c r="I170" t="s">
        <v>61</v>
      </c>
      <c r="J170">
        <v>2</v>
      </c>
      <c r="K170">
        <v>2</v>
      </c>
      <c r="L170" t="s">
        <v>62</v>
      </c>
      <c r="M170">
        <v>2</v>
      </c>
      <c r="N170">
        <v>0.47849999999999998</v>
      </c>
      <c r="O170">
        <v>0.4824</v>
      </c>
      <c r="P170">
        <v>5000</v>
      </c>
      <c r="Q170">
        <v>1886</v>
      </c>
      <c r="R170">
        <v>3114</v>
      </c>
      <c r="S170">
        <v>2.65</v>
      </c>
      <c r="T170">
        <v>1.65</v>
      </c>
      <c r="W170">
        <v>1674</v>
      </c>
      <c r="X170">
        <v>0</v>
      </c>
      <c r="Y170">
        <v>66.52</v>
      </c>
      <c r="Z170">
        <v>11.24</v>
      </c>
      <c r="AB170">
        <v>60200000</v>
      </c>
      <c r="AC170">
        <v>20154960</v>
      </c>
      <c r="AD170">
        <v>60200000</v>
      </c>
      <c r="AE170">
        <v>20154960</v>
      </c>
      <c r="AG170">
        <v>88.76</v>
      </c>
      <c r="AH170">
        <v>33.479999999999997</v>
      </c>
      <c r="AI170">
        <v>1</v>
      </c>
      <c r="AJ170">
        <v>2.6511130000000001</v>
      </c>
      <c r="AK170">
        <v>0.1615</v>
      </c>
      <c r="AL170">
        <v>4.03</v>
      </c>
      <c r="AM170">
        <v>4031</v>
      </c>
      <c r="AN170">
        <v>0.43070000000000003</v>
      </c>
      <c r="AO170">
        <v>30</v>
      </c>
      <c r="AP170">
        <v>21.87</v>
      </c>
      <c r="AQ170">
        <v>0.72</v>
      </c>
      <c r="AR170">
        <v>-5.73</v>
      </c>
      <c r="AS170">
        <v>1.84</v>
      </c>
      <c r="AT170">
        <v>10.34</v>
      </c>
      <c r="AU170">
        <v>6666.69</v>
      </c>
      <c r="AV170">
        <v>35.81</v>
      </c>
      <c r="AW170">
        <v>5.34</v>
      </c>
      <c r="AX170">
        <v>3.01</v>
      </c>
      <c r="AY170">
        <v>55.510798000000001</v>
      </c>
      <c r="AZ170">
        <v>166.518036</v>
      </c>
      <c r="BA170">
        <v>-5.1438499999999996</v>
      </c>
      <c r="BB170">
        <v>4.3305899999999999</v>
      </c>
      <c r="BC170">
        <v>5.1438499999999996</v>
      </c>
      <c r="BD170">
        <v>65.928742</v>
      </c>
      <c r="BE170">
        <v>258.30910399999999</v>
      </c>
      <c r="BF170">
        <v>-3.6277979999999999</v>
      </c>
      <c r="BG170">
        <v>8.0883339999999997</v>
      </c>
      <c r="BH170">
        <v>3.6277979999999999</v>
      </c>
    </row>
    <row r="171" spans="1:60" x14ac:dyDescent="0.25">
      <c r="A171" t="s">
        <v>400</v>
      </c>
      <c r="B171" t="s">
        <v>401</v>
      </c>
      <c r="C171">
        <v>0</v>
      </c>
      <c r="D171" t="s">
        <v>399</v>
      </c>
      <c r="E171" cm="1">
        <f t="array" ref="E171">_xlfn.SWITCH(D171,"QPSK",0.1,"16QAM",0.25,"64QAM",0.5,"256QAM",0.8,"1024QAM",1,"")</f>
        <v>0.1</v>
      </c>
      <c r="F171" cm="1">
        <f t="array" ref="F171">_xlfn.SWITCH(D171,"QPSK",0.05,"16QAM",0.15,"64QAM",0.4,"256QAM",0.75,"1024QAM",1,"")</f>
        <v>0.05</v>
      </c>
      <c r="G171" t="s">
        <v>60</v>
      </c>
      <c r="H171">
        <v>4</v>
      </c>
      <c r="I171" t="s">
        <v>61</v>
      </c>
      <c r="J171">
        <v>2</v>
      </c>
      <c r="K171">
        <v>2</v>
      </c>
      <c r="L171" t="s">
        <v>62</v>
      </c>
      <c r="M171">
        <v>2</v>
      </c>
      <c r="N171">
        <v>0.47849999999999998</v>
      </c>
      <c r="O171">
        <v>0.4824</v>
      </c>
      <c r="P171">
        <v>5000</v>
      </c>
      <c r="Q171">
        <v>1879</v>
      </c>
      <c r="R171">
        <v>3121</v>
      </c>
      <c r="S171">
        <v>2.66</v>
      </c>
      <c r="T171">
        <v>1.66</v>
      </c>
      <c r="W171">
        <v>1680</v>
      </c>
      <c r="X171">
        <v>0</v>
      </c>
      <c r="Y171">
        <v>66.400000000000006</v>
      </c>
      <c r="Z171">
        <v>10.59</v>
      </c>
      <c r="AB171">
        <v>60200000</v>
      </c>
      <c r="AC171">
        <v>20227200</v>
      </c>
      <c r="AD171">
        <v>60200000</v>
      </c>
      <c r="AE171">
        <v>20227200</v>
      </c>
      <c r="AG171">
        <v>89.41</v>
      </c>
      <c r="AH171">
        <v>33.6</v>
      </c>
      <c r="AI171">
        <v>1</v>
      </c>
      <c r="AJ171">
        <v>2.66099</v>
      </c>
      <c r="AK171">
        <v>0.16209999999999999</v>
      </c>
      <c r="AL171">
        <v>4.05</v>
      </c>
      <c r="AM171">
        <v>4045</v>
      </c>
      <c r="AN171">
        <v>0.43219999999999997</v>
      </c>
      <c r="AO171">
        <v>30</v>
      </c>
      <c r="AP171">
        <v>21.87</v>
      </c>
      <c r="AQ171">
        <v>0.72</v>
      </c>
      <c r="AR171">
        <v>-5.73</v>
      </c>
      <c r="AS171">
        <v>1.85</v>
      </c>
      <c r="AT171">
        <v>10.59</v>
      </c>
      <c r="AU171">
        <v>6666.69</v>
      </c>
      <c r="AV171">
        <v>35.81</v>
      </c>
      <c r="AW171">
        <v>5.34</v>
      </c>
      <c r="AX171">
        <v>3.01</v>
      </c>
      <c r="AY171">
        <v>55.512306000000002</v>
      </c>
      <c r="AZ171">
        <v>166.56575000000001</v>
      </c>
      <c r="BA171">
        <v>-5.1435399999999998</v>
      </c>
      <c r="BB171">
        <v>4.3334479999999997</v>
      </c>
      <c r="BC171">
        <v>5.1435399999999998</v>
      </c>
      <c r="BD171">
        <v>65.906075999999999</v>
      </c>
      <c r="BE171">
        <v>258.33378399999998</v>
      </c>
      <c r="BF171">
        <v>-3.6306859999999999</v>
      </c>
      <c r="BG171">
        <v>8.0867579999999997</v>
      </c>
      <c r="BH171">
        <v>3.6306859999999999</v>
      </c>
    </row>
    <row r="172" spans="1:60" x14ac:dyDescent="0.25">
      <c r="A172" t="s">
        <v>402</v>
      </c>
      <c r="B172" t="s">
        <v>403</v>
      </c>
      <c r="C172">
        <v>0</v>
      </c>
      <c r="D172" t="s">
        <v>399</v>
      </c>
      <c r="E172" cm="1">
        <f t="array" ref="E172">_xlfn.SWITCH(D172,"QPSK",0.1,"16QAM",0.25,"64QAM",0.5,"256QAM",0.8,"1024QAM",1,"")</f>
        <v>0.1</v>
      </c>
      <c r="F172" cm="1">
        <f t="array" ref="F172">_xlfn.SWITCH(D172,"QPSK",0.05,"16QAM",0.15,"64QAM",0.4,"256QAM",0.75,"1024QAM",1,"")</f>
        <v>0.05</v>
      </c>
      <c r="G172" t="s">
        <v>60</v>
      </c>
      <c r="H172">
        <v>8</v>
      </c>
      <c r="I172" t="s">
        <v>61</v>
      </c>
      <c r="J172">
        <v>2</v>
      </c>
      <c r="K172">
        <v>2</v>
      </c>
      <c r="L172" t="s">
        <v>62</v>
      </c>
      <c r="M172">
        <v>2</v>
      </c>
      <c r="N172">
        <v>0.47849999999999998</v>
      </c>
      <c r="O172">
        <v>0.4824</v>
      </c>
      <c r="P172">
        <v>5000</v>
      </c>
      <c r="Q172">
        <v>1865</v>
      </c>
      <c r="R172">
        <v>3135</v>
      </c>
      <c r="S172">
        <v>2.68</v>
      </c>
      <c r="T172">
        <v>1.68</v>
      </c>
      <c r="W172">
        <v>1689</v>
      </c>
      <c r="X172">
        <v>0</v>
      </c>
      <c r="Y172">
        <v>66.22</v>
      </c>
      <c r="Z172">
        <v>9.44</v>
      </c>
      <c r="AB172">
        <v>60200000</v>
      </c>
      <c r="AC172">
        <v>20335560</v>
      </c>
      <c r="AD172">
        <v>60200000</v>
      </c>
      <c r="AE172">
        <v>20335560</v>
      </c>
      <c r="AG172">
        <v>90.56</v>
      </c>
      <c r="AH172">
        <v>33.78</v>
      </c>
      <c r="AI172">
        <v>1</v>
      </c>
      <c r="AJ172">
        <v>2.680965</v>
      </c>
      <c r="AK172">
        <v>0.16289999999999999</v>
      </c>
      <c r="AL172">
        <v>4.07</v>
      </c>
      <c r="AM172">
        <v>4067</v>
      </c>
      <c r="AN172">
        <v>0.4345</v>
      </c>
      <c r="AO172">
        <v>30</v>
      </c>
      <c r="AP172">
        <v>21.87</v>
      </c>
      <c r="AQ172">
        <v>0.72</v>
      </c>
      <c r="AR172">
        <v>-5.72</v>
      </c>
      <c r="AS172">
        <v>1.84</v>
      </c>
      <c r="AT172">
        <v>10.49</v>
      </c>
      <c r="AU172">
        <v>6666.69</v>
      </c>
      <c r="AV172">
        <v>35.81</v>
      </c>
      <c r="AW172">
        <v>5.34</v>
      </c>
      <c r="AX172">
        <v>3</v>
      </c>
      <c r="AY172">
        <v>55.524056000000002</v>
      </c>
      <c r="AZ172">
        <v>166.712436</v>
      </c>
      <c r="BA172">
        <v>-5.1416919999999999</v>
      </c>
      <c r="BB172">
        <v>4.3400860000000003</v>
      </c>
      <c r="BC172">
        <v>5.1416919999999999</v>
      </c>
      <c r="BD172">
        <v>65.942126000000002</v>
      </c>
      <c r="BE172">
        <v>258.60681199999999</v>
      </c>
      <c r="BF172">
        <v>-3.6260859999999999</v>
      </c>
      <c r="BG172">
        <v>8.0970800000000001</v>
      </c>
      <c r="BH172">
        <v>3.6260859999999999</v>
      </c>
    </row>
    <row r="173" spans="1:60" x14ac:dyDescent="0.25">
      <c r="A173" t="s">
        <v>404</v>
      </c>
      <c r="B173" t="s">
        <v>153</v>
      </c>
      <c r="C173">
        <v>10</v>
      </c>
      <c r="D173" t="s">
        <v>399</v>
      </c>
      <c r="E173" cm="1">
        <f t="array" ref="E173">_xlfn.SWITCH(D173,"QPSK",0.1,"16QAM",0.25,"64QAM",0.5,"256QAM",0.8,"1024QAM",1,"")</f>
        <v>0.1</v>
      </c>
      <c r="F173" cm="1">
        <f t="array" ref="F173">_xlfn.SWITCH(D173,"QPSK",0.05,"16QAM",0.15,"64QAM",0.4,"256QAM",0.75,"1024QAM",1,"")</f>
        <v>0.05</v>
      </c>
      <c r="G173" t="s">
        <v>60</v>
      </c>
      <c r="H173">
        <v>1</v>
      </c>
      <c r="I173" t="s">
        <v>61</v>
      </c>
      <c r="J173">
        <v>2</v>
      </c>
      <c r="K173">
        <v>2</v>
      </c>
      <c r="L173" t="s">
        <v>62</v>
      </c>
      <c r="M173">
        <v>2</v>
      </c>
      <c r="N173">
        <v>0.47849999999999998</v>
      </c>
      <c r="O173">
        <v>0.4824</v>
      </c>
      <c r="P173">
        <v>5000</v>
      </c>
      <c r="Q173">
        <v>4652</v>
      </c>
      <c r="R173">
        <v>348</v>
      </c>
      <c r="S173">
        <v>1.07</v>
      </c>
      <c r="T173">
        <v>7.0000000000000007E-2</v>
      </c>
      <c r="W173">
        <v>4652</v>
      </c>
      <c r="X173">
        <v>0</v>
      </c>
      <c r="Y173">
        <v>6.96</v>
      </c>
      <c r="Z173">
        <v>0</v>
      </c>
      <c r="AB173">
        <v>60200000</v>
      </c>
      <c r="AC173">
        <v>56010080</v>
      </c>
      <c r="AD173">
        <v>60200000</v>
      </c>
      <c r="AE173">
        <v>56010080</v>
      </c>
      <c r="AG173">
        <v>100</v>
      </c>
      <c r="AH173">
        <v>93.04</v>
      </c>
      <c r="AI173">
        <v>1</v>
      </c>
      <c r="AJ173">
        <v>1.0748070000000001</v>
      </c>
      <c r="AK173">
        <v>0.44879999999999998</v>
      </c>
      <c r="AL173">
        <v>11.2</v>
      </c>
      <c r="AM173">
        <v>11202</v>
      </c>
      <c r="AN173">
        <v>1.1968000000000001</v>
      </c>
      <c r="AO173">
        <v>30</v>
      </c>
      <c r="AP173">
        <v>21.87</v>
      </c>
      <c r="AQ173">
        <v>0.72</v>
      </c>
      <c r="AR173">
        <v>-5.93</v>
      </c>
      <c r="AS173">
        <v>1.98</v>
      </c>
      <c r="AT173">
        <v>22.41</v>
      </c>
      <c r="AU173">
        <v>6666.69</v>
      </c>
      <c r="AV173">
        <v>35.81</v>
      </c>
      <c r="AW173">
        <v>11</v>
      </c>
      <c r="AX173">
        <v>5.52</v>
      </c>
      <c r="AY173">
        <v>29.192512000000001</v>
      </c>
      <c r="AZ173">
        <v>98.152221999999995</v>
      </c>
      <c r="BA173">
        <v>-10.907552000000001</v>
      </c>
      <c r="BB173">
        <v>-0.46234199999999998</v>
      </c>
      <c r="BC173">
        <v>10.907552000000001</v>
      </c>
      <c r="BD173">
        <v>54.629434000000003</v>
      </c>
      <c r="BE173">
        <v>177.79921200000001</v>
      </c>
      <c r="BF173">
        <v>-5.3395999999999999</v>
      </c>
      <c r="BG173">
        <v>4.840484</v>
      </c>
      <c r="BH173">
        <v>5.3395999999999999</v>
      </c>
    </row>
    <row r="174" spans="1:60" x14ac:dyDescent="0.25">
      <c r="A174" t="s">
        <v>405</v>
      </c>
      <c r="B174" t="s">
        <v>406</v>
      </c>
      <c r="C174">
        <v>10</v>
      </c>
      <c r="D174" t="s">
        <v>399</v>
      </c>
      <c r="E174" cm="1">
        <f t="array" ref="E174">_xlfn.SWITCH(D174,"QPSK",0.1,"16QAM",0.25,"64QAM",0.5,"256QAM",0.8,"1024QAM",1,"")</f>
        <v>0.1</v>
      </c>
      <c r="F174" cm="1">
        <f t="array" ref="F174">_xlfn.SWITCH(D174,"QPSK",0.05,"16QAM",0.15,"64QAM",0.4,"256QAM",0.75,"1024QAM",1,"")</f>
        <v>0.05</v>
      </c>
      <c r="G174" t="s">
        <v>60</v>
      </c>
      <c r="H174">
        <v>1</v>
      </c>
      <c r="I174" t="s">
        <v>61</v>
      </c>
      <c r="J174">
        <v>2</v>
      </c>
      <c r="K174">
        <v>2</v>
      </c>
      <c r="L174" t="s">
        <v>62</v>
      </c>
      <c r="M174">
        <v>2</v>
      </c>
      <c r="N174">
        <v>0.47849999999999998</v>
      </c>
      <c r="O174">
        <v>0.4824</v>
      </c>
      <c r="P174">
        <v>5000</v>
      </c>
      <c r="Q174">
        <v>4653</v>
      </c>
      <c r="R174">
        <v>347</v>
      </c>
      <c r="S174">
        <v>1.07</v>
      </c>
      <c r="T174">
        <v>7.0000000000000007E-2</v>
      </c>
      <c r="W174">
        <v>4653</v>
      </c>
      <c r="X174">
        <v>0</v>
      </c>
      <c r="Y174">
        <v>6.94</v>
      </c>
      <c r="Z174">
        <v>0</v>
      </c>
      <c r="AB174">
        <v>60200000</v>
      </c>
      <c r="AC174">
        <v>56022120</v>
      </c>
      <c r="AD174">
        <v>60200000</v>
      </c>
      <c r="AE174">
        <v>56022120</v>
      </c>
      <c r="AG174">
        <v>100</v>
      </c>
      <c r="AH174">
        <v>93.06</v>
      </c>
      <c r="AI174">
        <v>1</v>
      </c>
      <c r="AJ174">
        <v>1.074576</v>
      </c>
      <c r="AK174">
        <v>0.44890000000000002</v>
      </c>
      <c r="AL174">
        <v>11.2</v>
      </c>
      <c r="AM174">
        <v>11204</v>
      </c>
      <c r="AN174">
        <v>1.1971000000000001</v>
      </c>
      <c r="AO174">
        <v>30</v>
      </c>
      <c r="AP174">
        <v>21.87</v>
      </c>
      <c r="AQ174">
        <v>0.72</v>
      </c>
      <c r="AR174">
        <v>-5.93</v>
      </c>
      <c r="AS174">
        <v>1.98</v>
      </c>
      <c r="AT174">
        <v>22.67</v>
      </c>
      <c r="AU174">
        <v>6666.69</v>
      </c>
      <c r="AV174">
        <v>35.81</v>
      </c>
      <c r="AW174">
        <v>10.99</v>
      </c>
      <c r="AX174">
        <v>5.52</v>
      </c>
      <c r="AY174">
        <v>29.208825999999998</v>
      </c>
      <c r="AZ174">
        <v>98.511814000000001</v>
      </c>
      <c r="BA174">
        <v>-10.902100000000001</v>
      </c>
      <c r="BB174">
        <v>-0.43562800000000002</v>
      </c>
      <c r="BC174">
        <v>10.902100000000001</v>
      </c>
      <c r="BD174">
        <v>54.645854</v>
      </c>
      <c r="BE174">
        <v>178.058164</v>
      </c>
      <c r="BF174">
        <v>-5.3370220000000002</v>
      </c>
      <c r="BG174">
        <v>4.8515040000000003</v>
      </c>
      <c r="BH174">
        <v>5.3370220000000002</v>
      </c>
    </row>
    <row r="175" spans="1:60" x14ac:dyDescent="0.25">
      <c r="A175" t="s">
        <v>407</v>
      </c>
      <c r="B175" t="s">
        <v>408</v>
      </c>
      <c r="C175">
        <v>10</v>
      </c>
      <c r="D175" t="s">
        <v>399</v>
      </c>
      <c r="E175" cm="1">
        <f t="array" ref="E175">_xlfn.SWITCH(D175,"QPSK",0.1,"16QAM",0.25,"64QAM",0.5,"256QAM",0.8,"1024QAM",1,"")</f>
        <v>0.1</v>
      </c>
      <c r="F175" cm="1">
        <f t="array" ref="F175">_xlfn.SWITCH(D175,"QPSK",0.05,"16QAM",0.15,"64QAM",0.4,"256QAM",0.75,"1024QAM",1,"")</f>
        <v>0.05</v>
      </c>
      <c r="G175" t="s">
        <v>60</v>
      </c>
      <c r="H175">
        <v>4</v>
      </c>
      <c r="I175" t="s">
        <v>61</v>
      </c>
      <c r="J175">
        <v>2</v>
      </c>
      <c r="K175">
        <v>2</v>
      </c>
      <c r="L175" t="s">
        <v>62</v>
      </c>
      <c r="M175">
        <v>2</v>
      </c>
      <c r="N175">
        <v>0.47849999999999998</v>
      </c>
      <c r="O175">
        <v>0.4824</v>
      </c>
      <c r="P175">
        <v>5000</v>
      </c>
      <c r="Q175">
        <v>4635</v>
      </c>
      <c r="R175">
        <v>365</v>
      </c>
      <c r="S175">
        <v>1.08</v>
      </c>
      <c r="T175">
        <v>0.08</v>
      </c>
      <c r="W175">
        <v>4635</v>
      </c>
      <c r="X175">
        <v>0</v>
      </c>
      <c r="Y175">
        <v>7.3</v>
      </c>
      <c r="Z175">
        <v>0</v>
      </c>
      <c r="AB175">
        <v>60200000</v>
      </c>
      <c r="AC175">
        <v>55805400</v>
      </c>
      <c r="AD175">
        <v>60200000</v>
      </c>
      <c r="AE175">
        <v>55805400</v>
      </c>
      <c r="AG175">
        <v>100</v>
      </c>
      <c r="AH175">
        <v>92.7</v>
      </c>
      <c r="AI175">
        <v>1</v>
      </c>
      <c r="AJ175">
        <v>1.078749</v>
      </c>
      <c r="AK175">
        <v>0.44719999999999999</v>
      </c>
      <c r="AL175">
        <v>11.16</v>
      </c>
      <c r="AM175">
        <v>11161</v>
      </c>
      <c r="AN175">
        <v>1.1923999999999999</v>
      </c>
      <c r="AO175">
        <v>30</v>
      </c>
      <c r="AP175">
        <v>21.87</v>
      </c>
      <c r="AQ175">
        <v>0.72</v>
      </c>
      <c r="AR175">
        <v>-5.93</v>
      </c>
      <c r="AS175">
        <v>1.98</v>
      </c>
      <c r="AT175">
        <v>22.85</v>
      </c>
      <c r="AU175">
        <v>6666.69</v>
      </c>
      <c r="AV175">
        <v>35.81</v>
      </c>
      <c r="AW175">
        <v>11</v>
      </c>
      <c r="AX175">
        <v>5.52</v>
      </c>
      <c r="AY175">
        <v>29.191678</v>
      </c>
      <c r="AZ175">
        <v>98.103210000000004</v>
      </c>
      <c r="BA175">
        <v>-10.907999999999999</v>
      </c>
      <c r="BB175">
        <v>-0.46254200000000001</v>
      </c>
      <c r="BC175">
        <v>10.907999999999999</v>
      </c>
      <c r="BD175">
        <v>54.637917999999999</v>
      </c>
      <c r="BE175">
        <v>177.555362</v>
      </c>
      <c r="BF175">
        <v>-5.3381800000000004</v>
      </c>
      <c r="BG175">
        <v>4.8347439999999997</v>
      </c>
      <c r="BH175">
        <v>5.3381800000000004</v>
      </c>
    </row>
    <row r="176" spans="1:60" x14ac:dyDescent="0.25">
      <c r="A176" t="s">
        <v>409</v>
      </c>
      <c r="B176" t="s">
        <v>410</v>
      </c>
      <c r="C176">
        <v>10</v>
      </c>
      <c r="D176" t="s">
        <v>399</v>
      </c>
      <c r="E176" cm="1">
        <f t="array" ref="E176">_xlfn.SWITCH(D176,"QPSK",0.1,"16QAM",0.25,"64QAM",0.5,"256QAM",0.8,"1024QAM",1,"")</f>
        <v>0.1</v>
      </c>
      <c r="F176" cm="1">
        <f t="array" ref="F176">_xlfn.SWITCH(D176,"QPSK",0.05,"16QAM",0.15,"64QAM",0.4,"256QAM",0.75,"1024QAM",1,"")</f>
        <v>0.05</v>
      </c>
      <c r="G176" t="s">
        <v>60</v>
      </c>
      <c r="H176">
        <v>4</v>
      </c>
      <c r="I176" t="s">
        <v>61</v>
      </c>
      <c r="J176">
        <v>2</v>
      </c>
      <c r="K176">
        <v>2</v>
      </c>
      <c r="L176" t="s">
        <v>62</v>
      </c>
      <c r="M176">
        <v>2</v>
      </c>
      <c r="N176">
        <v>0.47849999999999998</v>
      </c>
      <c r="O176">
        <v>0.4824</v>
      </c>
      <c r="P176">
        <v>5000</v>
      </c>
      <c r="Q176">
        <v>4629</v>
      </c>
      <c r="R176">
        <v>371</v>
      </c>
      <c r="S176">
        <v>1.08</v>
      </c>
      <c r="T176">
        <v>0.08</v>
      </c>
      <c r="W176">
        <v>4629</v>
      </c>
      <c r="X176">
        <v>0</v>
      </c>
      <c r="Y176">
        <v>7.42</v>
      </c>
      <c r="Z176">
        <v>0</v>
      </c>
      <c r="AB176">
        <v>60200000</v>
      </c>
      <c r="AC176">
        <v>55733160</v>
      </c>
      <c r="AD176">
        <v>60200000</v>
      </c>
      <c r="AE176">
        <v>55733160</v>
      </c>
      <c r="AG176">
        <v>100</v>
      </c>
      <c r="AH176">
        <v>92.58</v>
      </c>
      <c r="AI176">
        <v>1</v>
      </c>
      <c r="AJ176">
        <v>1.080147</v>
      </c>
      <c r="AK176">
        <v>0.4466</v>
      </c>
      <c r="AL176">
        <v>11.15</v>
      </c>
      <c r="AM176">
        <v>11147</v>
      </c>
      <c r="AN176">
        <v>1.1909000000000001</v>
      </c>
      <c r="AO176">
        <v>30</v>
      </c>
      <c r="AP176">
        <v>21.87</v>
      </c>
      <c r="AQ176">
        <v>0.72</v>
      </c>
      <c r="AR176">
        <v>-5.93</v>
      </c>
      <c r="AS176">
        <v>1.98</v>
      </c>
      <c r="AT176">
        <v>22.73</v>
      </c>
      <c r="AU176">
        <v>6666.69</v>
      </c>
      <c r="AV176">
        <v>35.81</v>
      </c>
      <c r="AW176">
        <v>10.99</v>
      </c>
      <c r="AX176">
        <v>5.52</v>
      </c>
      <c r="AY176">
        <v>29.199850000000001</v>
      </c>
      <c r="AZ176">
        <v>98.207312000000002</v>
      </c>
      <c r="BA176">
        <v>-10.904684</v>
      </c>
      <c r="BB176">
        <v>-0.456702</v>
      </c>
      <c r="BC176">
        <v>10.904684</v>
      </c>
      <c r="BD176">
        <v>54.633932000000001</v>
      </c>
      <c r="BE176">
        <v>177.92187000000001</v>
      </c>
      <c r="BF176">
        <v>-5.3390740000000001</v>
      </c>
      <c r="BG176">
        <v>4.8497859999999999</v>
      </c>
      <c r="BH176">
        <v>5.3390740000000001</v>
      </c>
    </row>
    <row r="177" spans="1:60" x14ac:dyDescent="0.25">
      <c r="A177" t="s">
        <v>411</v>
      </c>
      <c r="B177" t="s">
        <v>412</v>
      </c>
      <c r="C177">
        <v>10</v>
      </c>
      <c r="D177" t="s">
        <v>399</v>
      </c>
      <c r="E177" cm="1">
        <f t="array" ref="E177">_xlfn.SWITCH(D177,"QPSK",0.1,"16QAM",0.25,"64QAM",0.5,"256QAM",0.8,"1024QAM",1,"")</f>
        <v>0.1</v>
      </c>
      <c r="F177" cm="1">
        <f t="array" ref="F177">_xlfn.SWITCH(D177,"QPSK",0.05,"16QAM",0.15,"64QAM",0.4,"256QAM",0.75,"1024QAM",1,"")</f>
        <v>0.05</v>
      </c>
      <c r="G177" t="s">
        <v>60</v>
      </c>
      <c r="H177">
        <v>8</v>
      </c>
      <c r="I177" t="s">
        <v>61</v>
      </c>
      <c r="J177">
        <v>2</v>
      </c>
      <c r="K177">
        <v>2</v>
      </c>
      <c r="L177" t="s">
        <v>62</v>
      </c>
      <c r="M177">
        <v>2</v>
      </c>
      <c r="N177">
        <v>0.47849999999999998</v>
      </c>
      <c r="O177">
        <v>0.4824</v>
      </c>
      <c r="P177">
        <v>5000</v>
      </c>
      <c r="Q177">
        <v>4615</v>
      </c>
      <c r="R177">
        <v>385</v>
      </c>
      <c r="S177">
        <v>1.08</v>
      </c>
      <c r="T177">
        <v>0.08</v>
      </c>
      <c r="W177">
        <v>4615</v>
      </c>
      <c r="X177">
        <v>0</v>
      </c>
      <c r="Y177">
        <v>7.7</v>
      </c>
      <c r="Z177">
        <v>0</v>
      </c>
      <c r="AB177">
        <v>60200000</v>
      </c>
      <c r="AC177">
        <v>55564600</v>
      </c>
      <c r="AD177">
        <v>60200000</v>
      </c>
      <c r="AE177">
        <v>55564600</v>
      </c>
      <c r="AG177">
        <v>100</v>
      </c>
      <c r="AH177">
        <v>92.3</v>
      </c>
      <c r="AI177">
        <v>1</v>
      </c>
      <c r="AJ177">
        <v>1.0834239999999999</v>
      </c>
      <c r="AK177">
        <v>0.44519999999999998</v>
      </c>
      <c r="AL177">
        <v>11.11</v>
      </c>
      <c r="AM177">
        <v>11113</v>
      </c>
      <c r="AN177">
        <v>1.1873</v>
      </c>
      <c r="AO177">
        <v>30</v>
      </c>
      <c r="AP177">
        <v>21.87</v>
      </c>
      <c r="AQ177">
        <v>0.72</v>
      </c>
      <c r="AR177">
        <v>-5.93</v>
      </c>
      <c r="AS177">
        <v>1.98</v>
      </c>
      <c r="AT177">
        <v>22.75</v>
      </c>
      <c r="AU177">
        <v>6666.69</v>
      </c>
      <c r="AV177">
        <v>35.81</v>
      </c>
      <c r="AW177">
        <v>11</v>
      </c>
      <c r="AX177">
        <v>5.52</v>
      </c>
      <c r="AY177">
        <v>29.186350000000001</v>
      </c>
      <c r="AZ177">
        <v>98.142809999999997</v>
      </c>
      <c r="BA177">
        <v>-10.908714</v>
      </c>
      <c r="BB177">
        <v>-0.46178799999999998</v>
      </c>
      <c r="BC177">
        <v>10.908714</v>
      </c>
      <c r="BD177">
        <v>54.642749999999999</v>
      </c>
      <c r="BE177">
        <v>177.93348599999999</v>
      </c>
      <c r="BF177">
        <v>-5.3377359999999996</v>
      </c>
      <c r="BG177">
        <v>4.8470579999999996</v>
      </c>
      <c r="BH177">
        <v>5.3377359999999996</v>
      </c>
    </row>
    <row r="178" spans="1:60" x14ac:dyDescent="0.25">
      <c r="A178" t="s">
        <v>413</v>
      </c>
      <c r="B178" t="s">
        <v>414</v>
      </c>
      <c r="C178">
        <v>10</v>
      </c>
      <c r="D178" t="s">
        <v>399</v>
      </c>
      <c r="E178" cm="1">
        <f t="array" ref="E178">_xlfn.SWITCH(D178,"QPSK",0.1,"16QAM",0.25,"64QAM",0.5,"256QAM",0.8,"1024QAM",1,"")</f>
        <v>0.1</v>
      </c>
      <c r="F178" cm="1">
        <f t="array" ref="F178">_xlfn.SWITCH(D178,"QPSK",0.05,"16QAM",0.15,"64QAM",0.4,"256QAM",0.75,"1024QAM",1,"")</f>
        <v>0.05</v>
      </c>
      <c r="G178" t="s">
        <v>60</v>
      </c>
      <c r="H178">
        <v>8</v>
      </c>
      <c r="I178" t="s">
        <v>61</v>
      </c>
      <c r="J178">
        <v>2</v>
      </c>
      <c r="K178">
        <v>2</v>
      </c>
      <c r="L178" t="s">
        <v>62</v>
      </c>
      <c r="M178">
        <v>2</v>
      </c>
      <c r="N178">
        <v>0.47849999999999998</v>
      </c>
      <c r="O178">
        <v>0.4824</v>
      </c>
      <c r="P178">
        <v>5000</v>
      </c>
      <c r="Q178">
        <v>4609</v>
      </c>
      <c r="R178">
        <v>391</v>
      </c>
      <c r="S178">
        <v>1.08</v>
      </c>
      <c r="T178">
        <v>0.08</v>
      </c>
      <c r="W178">
        <v>4609</v>
      </c>
      <c r="X178">
        <v>0</v>
      </c>
      <c r="Y178">
        <v>7.82</v>
      </c>
      <c r="Z178">
        <v>0</v>
      </c>
      <c r="AB178">
        <v>60200000</v>
      </c>
      <c r="AC178">
        <v>55492360</v>
      </c>
      <c r="AD178">
        <v>60200000</v>
      </c>
      <c r="AE178">
        <v>55492360</v>
      </c>
      <c r="AG178">
        <v>100</v>
      </c>
      <c r="AH178">
        <v>92.18</v>
      </c>
      <c r="AI178">
        <v>1</v>
      </c>
      <c r="AJ178">
        <v>1.0848340000000001</v>
      </c>
      <c r="AK178">
        <v>0.44469999999999998</v>
      </c>
      <c r="AL178">
        <v>11.1</v>
      </c>
      <c r="AM178">
        <v>11098</v>
      </c>
      <c r="AN178">
        <v>1.1857</v>
      </c>
      <c r="AO178">
        <v>30</v>
      </c>
      <c r="AP178">
        <v>21.87</v>
      </c>
      <c r="AQ178">
        <v>0.72</v>
      </c>
      <c r="AR178">
        <v>-5.93</v>
      </c>
      <c r="AS178">
        <v>1.98</v>
      </c>
      <c r="AT178">
        <v>23.17</v>
      </c>
      <c r="AU178">
        <v>6666.69</v>
      </c>
      <c r="AV178">
        <v>35.81</v>
      </c>
      <c r="AW178">
        <v>11</v>
      </c>
      <c r="AX178">
        <v>5.53</v>
      </c>
      <c r="AY178">
        <v>29.192485999999999</v>
      </c>
      <c r="AZ178">
        <v>98.124492000000004</v>
      </c>
      <c r="BA178">
        <v>-10.907170000000001</v>
      </c>
      <c r="BB178">
        <v>-0.4627</v>
      </c>
      <c r="BC178">
        <v>10.907170000000001</v>
      </c>
      <c r="BD178">
        <v>54.620406000000003</v>
      </c>
      <c r="BE178">
        <v>177.74552199999999</v>
      </c>
      <c r="BF178">
        <v>-5.3410000000000002</v>
      </c>
      <c r="BG178">
        <v>4.8405719999999999</v>
      </c>
      <c r="BH178">
        <v>5.3410000000000002</v>
      </c>
    </row>
    <row r="179" spans="1:60" x14ac:dyDescent="0.25">
      <c r="A179" t="s">
        <v>415</v>
      </c>
      <c r="B179" t="s">
        <v>416</v>
      </c>
      <c r="C179">
        <v>12</v>
      </c>
      <c r="D179" t="s">
        <v>399</v>
      </c>
      <c r="E179" cm="1">
        <f t="array" ref="E179">_xlfn.SWITCH(D179,"QPSK",0.1,"16QAM",0.25,"64QAM",0.5,"256QAM",0.8,"1024QAM",1,"")</f>
        <v>0.1</v>
      </c>
      <c r="F179" cm="1">
        <f t="array" ref="F179">_xlfn.SWITCH(D179,"QPSK",0.05,"16QAM",0.15,"64QAM",0.4,"256QAM",0.75,"1024QAM",1,"")</f>
        <v>0.05</v>
      </c>
      <c r="G179" t="s">
        <v>60</v>
      </c>
      <c r="H179">
        <v>1</v>
      </c>
      <c r="I179" t="s">
        <v>61</v>
      </c>
      <c r="J179">
        <v>2</v>
      </c>
      <c r="K179">
        <v>2</v>
      </c>
      <c r="L179" t="s">
        <v>62</v>
      </c>
      <c r="M179">
        <v>2</v>
      </c>
      <c r="N179">
        <v>0.47849999999999998</v>
      </c>
      <c r="O179">
        <v>0.4824</v>
      </c>
      <c r="P179">
        <v>5000</v>
      </c>
      <c r="Q179">
        <v>4833</v>
      </c>
      <c r="R179">
        <v>167</v>
      </c>
      <c r="S179">
        <v>1.03</v>
      </c>
      <c r="T179">
        <v>0.03</v>
      </c>
      <c r="W179">
        <v>4833</v>
      </c>
      <c r="X179">
        <v>0</v>
      </c>
      <c r="Y179">
        <v>3.34</v>
      </c>
      <c r="Z179">
        <v>0</v>
      </c>
      <c r="AB179">
        <v>60200000</v>
      </c>
      <c r="AC179">
        <v>58189320</v>
      </c>
      <c r="AD179">
        <v>60200000</v>
      </c>
      <c r="AE179">
        <v>58189320</v>
      </c>
      <c r="AG179">
        <v>100</v>
      </c>
      <c r="AH179">
        <v>96.66</v>
      </c>
      <c r="AI179">
        <v>1</v>
      </c>
      <c r="AJ179">
        <v>1.034554</v>
      </c>
      <c r="AK179">
        <v>0.46629999999999999</v>
      </c>
      <c r="AL179">
        <v>11.64</v>
      </c>
      <c r="AM179">
        <v>11638</v>
      </c>
      <c r="AN179">
        <v>1.2434000000000001</v>
      </c>
      <c r="AO179">
        <v>30</v>
      </c>
      <c r="AP179">
        <v>21.87</v>
      </c>
      <c r="AQ179">
        <v>0.72</v>
      </c>
      <c r="AR179">
        <v>-5.93</v>
      </c>
      <c r="AS179">
        <v>1.97</v>
      </c>
      <c r="AT179">
        <v>22.42</v>
      </c>
      <c r="AU179">
        <v>6666.69</v>
      </c>
      <c r="AV179">
        <v>35.81</v>
      </c>
      <c r="AW179">
        <v>12.21</v>
      </c>
      <c r="AX179">
        <v>6.16</v>
      </c>
      <c r="AY179">
        <v>25.372354000000001</v>
      </c>
      <c r="AZ179">
        <v>96.004148000000001</v>
      </c>
      <c r="BA179">
        <v>-12.147702000000001</v>
      </c>
      <c r="BB179">
        <v>-0.74227799999999999</v>
      </c>
      <c r="BC179">
        <v>12.147702000000001</v>
      </c>
      <c r="BD179">
        <v>51.109326000000003</v>
      </c>
      <c r="BE179">
        <v>174.57511600000001</v>
      </c>
      <c r="BF179">
        <v>-5.9572139999999996</v>
      </c>
      <c r="BG179">
        <v>4.7152260000000004</v>
      </c>
      <c r="BH179">
        <v>5.9572139999999996</v>
      </c>
    </row>
    <row r="180" spans="1:60" x14ac:dyDescent="0.25">
      <c r="A180" t="s">
        <v>417</v>
      </c>
      <c r="B180" t="s">
        <v>418</v>
      </c>
      <c r="C180">
        <v>12</v>
      </c>
      <c r="D180" t="s">
        <v>399</v>
      </c>
      <c r="E180" cm="1">
        <f t="array" ref="E180">_xlfn.SWITCH(D180,"QPSK",0.1,"16QAM",0.25,"64QAM",0.5,"256QAM",0.8,"1024QAM",1,"")</f>
        <v>0.1</v>
      </c>
      <c r="F180" cm="1">
        <f t="array" ref="F180">_xlfn.SWITCH(D180,"QPSK",0.05,"16QAM",0.15,"64QAM",0.4,"256QAM",0.75,"1024QAM",1,"")</f>
        <v>0.05</v>
      </c>
      <c r="G180" t="s">
        <v>60</v>
      </c>
      <c r="H180">
        <v>4</v>
      </c>
      <c r="I180" t="s">
        <v>61</v>
      </c>
      <c r="J180">
        <v>2</v>
      </c>
      <c r="K180">
        <v>2</v>
      </c>
      <c r="L180" t="s">
        <v>62</v>
      </c>
      <c r="M180">
        <v>2</v>
      </c>
      <c r="N180">
        <v>0.47849999999999998</v>
      </c>
      <c r="O180">
        <v>0.4824</v>
      </c>
      <c r="P180">
        <v>5000</v>
      </c>
      <c r="Q180">
        <v>4827</v>
      </c>
      <c r="R180">
        <v>173</v>
      </c>
      <c r="S180">
        <v>1.04</v>
      </c>
      <c r="T180">
        <v>0.04</v>
      </c>
      <c r="W180">
        <v>4827</v>
      </c>
      <c r="X180">
        <v>0</v>
      </c>
      <c r="Y180">
        <v>3.46</v>
      </c>
      <c r="Z180">
        <v>0</v>
      </c>
      <c r="AB180">
        <v>60200000</v>
      </c>
      <c r="AC180">
        <v>58117080</v>
      </c>
      <c r="AD180">
        <v>60200000</v>
      </c>
      <c r="AE180">
        <v>58117080</v>
      </c>
      <c r="AG180">
        <v>100</v>
      </c>
      <c r="AH180">
        <v>96.54</v>
      </c>
      <c r="AI180">
        <v>1</v>
      </c>
      <c r="AJ180">
        <v>1.0358400000000001</v>
      </c>
      <c r="AK180">
        <v>0.4657</v>
      </c>
      <c r="AL180">
        <v>11.62</v>
      </c>
      <c r="AM180">
        <v>11623</v>
      </c>
      <c r="AN180">
        <v>1.2418</v>
      </c>
      <c r="AO180">
        <v>30</v>
      </c>
      <c r="AP180">
        <v>21.87</v>
      </c>
      <c r="AQ180">
        <v>0.72</v>
      </c>
      <c r="AR180">
        <v>-5.93</v>
      </c>
      <c r="AS180">
        <v>1.97</v>
      </c>
      <c r="AT180">
        <v>22.08</v>
      </c>
      <c r="AU180">
        <v>6666.69</v>
      </c>
      <c r="AV180">
        <v>35.81</v>
      </c>
      <c r="AW180">
        <v>12.21</v>
      </c>
      <c r="AX180">
        <v>6.15</v>
      </c>
      <c r="AY180">
        <v>25.377058000000002</v>
      </c>
      <c r="AZ180">
        <v>95.84075</v>
      </c>
      <c r="BA180">
        <v>-12.145546</v>
      </c>
      <c r="BB180">
        <v>-0.75093399999999999</v>
      </c>
      <c r="BC180">
        <v>12.145546</v>
      </c>
      <c r="BD180">
        <v>51.118856000000001</v>
      </c>
      <c r="BE180">
        <v>174.88918200000001</v>
      </c>
      <c r="BF180">
        <v>-5.9551480000000003</v>
      </c>
      <c r="BG180">
        <v>4.7282279999999997</v>
      </c>
      <c r="BH180">
        <v>5.9551480000000003</v>
      </c>
    </row>
    <row r="181" spans="1:60" x14ac:dyDescent="0.25">
      <c r="A181" t="s">
        <v>419</v>
      </c>
      <c r="B181" t="s">
        <v>420</v>
      </c>
      <c r="C181">
        <v>12</v>
      </c>
      <c r="D181" t="s">
        <v>399</v>
      </c>
      <c r="E181" cm="1">
        <f t="array" ref="E181">_xlfn.SWITCH(D181,"QPSK",0.1,"16QAM",0.25,"64QAM",0.5,"256QAM",0.8,"1024QAM",1,"")</f>
        <v>0.1</v>
      </c>
      <c r="F181" cm="1">
        <f t="array" ref="F181">_xlfn.SWITCH(D181,"QPSK",0.05,"16QAM",0.15,"64QAM",0.4,"256QAM",0.75,"1024QAM",1,"")</f>
        <v>0.05</v>
      </c>
      <c r="G181" t="s">
        <v>60</v>
      </c>
      <c r="H181">
        <v>8</v>
      </c>
      <c r="I181" t="s">
        <v>61</v>
      </c>
      <c r="J181">
        <v>2</v>
      </c>
      <c r="K181">
        <v>2</v>
      </c>
      <c r="L181" t="s">
        <v>62</v>
      </c>
      <c r="M181">
        <v>2</v>
      </c>
      <c r="N181">
        <v>0.47849999999999998</v>
      </c>
      <c r="O181">
        <v>0.4824</v>
      </c>
      <c r="P181">
        <v>5000</v>
      </c>
      <c r="Q181">
        <v>4806</v>
      </c>
      <c r="R181">
        <v>194</v>
      </c>
      <c r="S181">
        <v>1.04</v>
      </c>
      <c r="T181">
        <v>0.04</v>
      </c>
      <c r="W181">
        <v>4806</v>
      </c>
      <c r="X181">
        <v>0</v>
      </c>
      <c r="Y181">
        <v>3.88</v>
      </c>
      <c r="Z181">
        <v>0</v>
      </c>
      <c r="AB181">
        <v>60200000</v>
      </c>
      <c r="AC181">
        <v>57864240</v>
      </c>
      <c r="AD181">
        <v>60200000</v>
      </c>
      <c r="AE181">
        <v>57864240</v>
      </c>
      <c r="AG181">
        <v>100</v>
      </c>
      <c r="AH181">
        <v>96.12</v>
      </c>
      <c r="AI181">
        <v>1</v>
      </c>
      <c r="AJ181">
        <v>1.0403659999999999</v>
      </c>
      <c r="AK181">
        <v>0.4637</v>
      </c>
      <c r="AL181">
        <v>11.57</v>
      </c>
      <c r="AM181">
        <v>11573</v>
      </c>
      <c r="AN181">
        <v>1.2363999999999999</v>
      </c>
      <c r="AO181">
        <v>30</v>
      </c>
      <c r="AP181">
        <v>21.87</v>
      </c>
      <c r="AQ181">
        <v>0.72</v>
      </c>
      <c r="AR181">
        <v>-5.93</v>
      </c>
      <c r="AS181">
        <v>1.97</v>
      </c>
      <c r="AT181">
        <v>22.36</v>
      </c>
      <c r="AU181">
        <v>6666.69</v>
      </c>
      <c r="AV181">
        <v>35.81</v>
      </c>
      <c r="AW181">
        <v>12.2</v>
      </c>
      <c r="AX181">
        <v>6.15</v>
      </c>
      <c r="AY181">
        <v>25.385182</v>
      </c>
      <c r="AZ181">
        <v>95.943860000000001</v>
      </c>
      <c r="BA181">
        <v>-12.142417999999999</v>
      </c>
      <c r="BB181">
        <v>-0.73938000000000004</v>
      </c>
      <c r="BC181">
        <v>12.142417999999999</v>
      </c>
      <c r="BD181">
        <v>51.126494000000001</v>
      </c>
      <c r="BE181">
        <v>174.797192</v>
      </c>
      <c r="BF181">
        <v>-5.9541620000000002</v>
      </c>
      <c r="BG181">
        <v>4.7270399999999997</v>
      </c>
      <c r="BH181">
        <v>5.9541620000000002</v>
      </c>
    </row>
    <row r="182" spans="1:60" x14ac:dyDescent="0.25">
      <c r="A182" t="s">
        <v>421</v>
      </c>
      <c r="B182" t="s">
        <v>153</v>
      </c>
      <c r="C182">
        <v>14</v>
      </c>
      <c r="D182" t="s">
        <v>399</v>
      </c>
      <c r="E182" cm="1">
        <f t="array" ref="E182">_xlfn.SWITCH(D182,"QPSK",0.1,"16QAM",0.25,"64QAM",0.5,"256QAM",0.8,"1024QAM",1,"")</f>
        <v>0.1</v>
      </c>
      <c r="F182" cm="1">
        <f t="array" ref="F182">_xlfn.SWITCH(D182,"QPSK",0.05,"16QAM",0.15,"64QAM",0.4,"256QAM",0.75,"1024QAM",1,"")</f>
        <v>0.05</v>
      </c>
      <c r="G182" t="s">
        <v>60</v>
      </c>
      <c r="H182">
        <v>1</v>
      </c>
      <c r="I182" t="s">
        <v>61</v>
      </c>
      <c r="J182">
        <v>2</v>
      </c>
      <c r="K182">
        <v>2</v>
      </c>
      <c r="L182" t="s">
        <v>62</v>
      </c>
      <c r="M182">
        <v>2</v>
      </c>
      <c r="N182">
        <v>0.47849999999999998</v>
      </c>
      <c r="O182">
        <v>0.4824</v>
      </c>
      <c r="P182">
        <v>5000</v>
      </c>
      <c r="Q182">
        <v>4940</v>
      </c>
      <c r="R182">
        <v>60</v>
      </c>
      <c r="S182">
        <v>1.01</v>
      </c>
      <c r="T182">
        <v>0.01</v>
      </c>
      <c r="W182">
        <v>4940</v>
      </c>
      <c r="X182">
        <v>0</v>
      </c>
      <c r="Y182">
        <v>1.2</v>
      </c>
      <c r="Z182">
        <v>0</v>
      </c>
      <c r="AB182">
        <v>60200000</v>
      </c>
      <c r="AC182">
        <v>59477600</v>
      </c>
      <c r="AD182">
        <v>60200000</v>
      </c>
      <c r="AE182">
        <v>59477600</v>
      </c>
      <c r="AG182">
        <v>100</v>
      </c>
      <c r="AH182">
        <v>98.8</v>
      </c>
      <c r="AI182">
        <v>1</v>
      </c>
      <c r="AJ182">
        <v>1.012146</v>
      </c>
      <c r="AK182">
        <v>0.47660000000000002</v>
      </c>
      <c r="AL182">
        <v>11.9</v>
      </c>
      <c r="AM182">
        <v>11896</v>
      </c>
      <c r="AN182">
        <v>1.2708999999999999</v>
      </c>
      <c r="AO182">
        <v>30</v>
      </c>
      <c r="AP182">
        <v>21.87</v>
      </c>
      <c r="AQ182">
        <v>0.72</v>
      </c>
      <c r="AR182">
        <v>-5.94</v>
      </c>
      <c r="AS182">
        <v>1.96</v>
      </c>
      <c r="AT182">
        <v>22.39</v>
      </c>
      <c r="AU182">
        <v>6666.69</v>
      </c>
      <c r="AV182">
        <v>35.81</v>
      </c>
      <c r="AW182">
        <v>13.57</v>
      </c>
      <c r="AX182">
        <v>6.96</v>
      </c>
      <c r="AY182">
        <v>21.700057999999999</v>
      </c>
      <c r="AZ182">
        <v>89.211933999999999</v>
      </c>
      <c r="BA182">
        <v>-13.529128</v>
      </c>
      <c r="BB182">
        <v>-1.395518</v>
      </c>
      <c r="BC182">
        <v>13.529128</v>
      </c>
      <c r="BD182">
        <v>46.878908000000003</v>
      </c>
      <c r="BE182">
        <v>169.42841200000001</v>
      </c>
      <c r="BF182">
        <v>-6.7739940000000001</v>
      </c>
      <c r="BG182">
        <v>4.4511539999999998</v>
      </c>
      <c r="BH182">
        <v>6.7739940000000001</v>
      </c>
    </row>
    <row r="183" spans="1:60" x14ac:dyDescent="0.25">
      <c r="A183" t="s">
        <v>422</v>
      </c>
      <c r="B183" t="s">
        <v>423</v>
      </c>
      <c r="C183">
        <v>14</v>
      </c>
      <c r="D183" t="s">
        <v>399</v>
      </c>
      <c r="E183" cm="1">
        <f t="array" ref="E183">_xlfn.SWITCH(D183,"QPSK",0.1,"16QAM",0.25,"64QAM",0.5,"256QAM",0.8,"1024QAM",1,"")</f>
        <v>0.1</v>
      </c>
      <c r="F183" cm="1">
        <f t="array" ref="F183">_xlfn.SWITCH(D183,"QPSK",0.05,"16QAM",0.15,"64QAM",0.4,"256QAM",0.75,"1024QAM",1,"")</f>
        <v>0.05</v>
      </c>
      <c r="G183" t="s">
        <v>60</v>
      </c>
      <c r="H183">
        <v>4</v>
      </c>
      <c r="I183" t="s">
        <v>61</v>
      </c>
      <c r="J183">
        <v>2</v>
      </c>
      <c r="K183">
        <v>2</v>
      </c>
      <c r="L183" t="s">
        <v>62</v>
      </c>
      <c r="M183">
        <v>2</v>
      </c>
      <c r="N183">
        <v>0.47849999999999998</v>
      </c>
      <c r="O183">
        <v>0.4824</v>
      </c>
      <c r="P183">
        <v>5000</v>
      </c>
      <c r="Q183">
        <v>4936</v>
      </c>
      <c r="R183">
        <v>64</v>
      </c>
      <c r="S183">
        <v>1.01</v>
      </c>
      <c r="T183">
        <v>0.01</v>
      </c>
      <c r="W183">
        <v>4936</v>
      </c>
      <c r="X183">
        <v>0</v>
      </c>
      <c r="Y183">
        <v>1.28</v>
      </c>
      <c r="Z183">
        <v>0</v>
      </c>
      <c r="AB183">
        <v>60200000</v>
      </c>
      <c r="AC183">
        <v>59429440</v>
      </c>
      <c r="AD183">
        <v>60200000</v>
      </c>
      <c r="AE183">
        <v>59429440</v>
      </c>
      <c r="AG183">
        <v>100</v>
      </c>
      <c r="AH183">
        <v>98.72</v>
      </c>
      <c r="AI183">
        <v>1</v>
      </c>
      <c r="AJ183">
        <v>1.012966</v>
      </c>
      <c r="AK183">
        <v>0.47620000000000001</v>
      </c>
      <c r="AL183">
        <v>11.89</v>
      </c>
      <c r="AM183">
        <v>11886</v>
      </c>
      <c r="AN183">
        <v>1.2699</v>
      </c>
      <c r="AO183">
        <v>30</v>
      </c>
      <c r="AP183">
        <v>21.87</v>
      </c>
      <c r="AQ183">
        <v>0.72</v>
      </c>
      <c r="AR183">
        <v>-5.94</v>
      </c>
      <c r="AS183">
        <v>1.96</v>
      </c>
      <c r="AT183">
        <v>22.77</v>
      </c>
      <c r="AU183">
        <v>6666.69</v>
      </c>
      <c r="AV183">
        <v>35.81</v>
      </c>
      <c r="AW183">
        <v>13.57</v>
      </c>
      <c r="AX183">
        <v>6.96</v>
      </c>
      <c r="AY183">
        <v>21.701779999999999</v>
      </c>
      <c r="AZ183">
        <v>89.188271999999998</v>
      </c>
      <c r="BA183">
        <v>-13.52896</v>
      </c>
      <c r="BB183">
        <v>-1.400598</v>
      </c>
      <c r="BC183">
        <v>13.52896</v>
      </c>
      <c r="BD183">
        <v>46.874954000000002</v>
      </c>
      <c r="BE183">
        <v>169.991996</v>
      </c>
      <c r="BF183">
        <v>-6.7748080000000002</v>
      </c>
      <c r="BG183">
        <v>4.4804180000000002</v>
      </c>
      <c r="BH183">
        <v>6.7748080000000002</v>
      </c>
    </row>
    <row r="184" spans="1:60" x14ac:dyDescent="0.25">
      <c r="A184" t="s">
        <v>424</v>
      </c>
      <c r="B184" t="s">
        <v>425</v>
      </c>
      <c r="C184">
        <v>14</v>
      </c>
      <c r="D184" t="s">
        <v>399</v>
      </c>
      <c r="E184" cm="1">
        <f t="array" ref="E184">_xlfn.SWITCH(D184,"QPSK",0.1,"16QAM",0.25,"64QAM",0.5,"256QAM",0.8,"1024QAM",1,"")</f>
        <v>0.1</v>
      </c>
      <c r="F184" cm="1">
        <f t="array" ref="F184">_xlfn.SWITCH(D184,"QPSK",0.05,"16QAM",0.15,"64QAM",0.4,"256QAM",0.75,"1024QAM",1,"")</f>
        <v>0.05</v>
      </c>
      <c r="G184" t="s">
        <v>60</v>
      </c>
      <c r="H184">
        <v>8</v>
      </c>
      <c r="I184" t="s">
        <v>61</v>
      </c>
      <c r="J184">
        <v>2</v>
      </c>
      <c r="K184">
        <v>2</v>
      </c>
      <c r="L184" t="s">
        <v>62</v>
      </c>
      <c r="M184">
        <v>2</v>
      </c>
      <c r="N184">
        <v>0.47849999999999998</v>
      </c>
      <c r="O184">
        <v>0.4824</v>
      </c>
      <c r="P184">
        <v>5000</v>
      </c>
      <c r="Q184">
        <v>4925</v>
      </c>
      <c r="R184">
        <v>75</v>
      </c>
      <c r="S184">
        <v>1.02</v>
      </c>
      <c r="T184">
        <v>0.02</v>
      </c>
      <c r="W184">
        <v>4925</v>
      </c>
      <c r="X184">
        <v>0</v>
      </c>
      <c r="Y184">
        <v>1.5</v>
      </c>
      <c r="Z184">
        <v>0</v>
      </c>
      <c r="AB184">
        <v>60200000</v>
      </c>
      <c r="AC184">
        <v>59297000</v>
      </c>
      <c r="AD184">
        <v>60200000</v>
      </c>
      <c r="AE184">
        <v>59297000</v>
      </c>
      <c r="AG184">
        <v>100</v>
      </c>
      <c r="AH184">
        <v>98.5</v>
      </c>
      <c r="AI184">
        <v>1</v>
      </c>
      <c r="AJ184">
        <v>1.015228</v>
      </c>
      <c r="AK184">
        <v>0.47510000000000002</v>
      </c>
      <c r="AL184">
        <v>11.86</v>
      </c>
      <c r="AM184">
        <v>11859</v>
      </c>
      <c r="AN184">
        <v>1.2669999999999999</v>
      </c>
      <c r="AO184">
        <v>30</v>
      </c>
      <c r="AP184">
        <v>21.87</v>
      </c>
      <c r="AQ184">
        <v>0.72</v>
      </c>
      <c r="AR184">
        <v>-5.94</v>
      </c>
      <c r="AS184">
        <v>1.96</v>
      </c>
      <c r="AT184">
        <v>22.89</v>
      </c>
      <c r="AU184">
        <v>6666.69</v>
      </c>
      <c r="AV184">
        <v>35.81</v>
      </c>
      <c r="AW184">
        <v>13.58</v>
      </c>
      <c r="AX184">
        <v>6.96</v>
      </c>
      <c r="AY184">
        <v>21.682017999999999</v>
      </c>
      <c r="AZ184">
        <v>88.657917999999995</v>
      </c>
      <c r="BA184">
        <v>-13.53703</v>
      </c>
      <c r="BB184">
        <v>-1.4415340000000001</v>
      </c>
      <c r="BC184">
        <v>13.53703</v>
      </c>
      <c r="BD184">
        <v>46.846428000000003</v>
      </c>
      <c r="BE184">
        <v>169.64614399999999</v>
      </c>
      <c r="BF184">
        <v>-6.7811880000000002</v>
      </c>
      <c r="BG184">
        <v>4.4594139999999998</v>
      </c>
      <c r="BH184">
        <v>6.7811880000000002</v>
      </c>
    </row>
    <row r="185" spans="1:60" x14ac:dyDescent="0.25">
      <c r="A185" t="s">
        <v>426</v>
      </c>
      <c r="B185" t="s">
        <v>427</v>
      </c>
      <c r="C185">
        <v>16</v>
      </c>
      <c r="D185" t="s">
        <v>399</v>
      </c>
      <c r="E185" cm="1">
        <f t="array" ref="E185">_xlfn.SWITCH(D185,"QPSK",0.1,"16QAM",0.25,"64QAM",0.5,"256QAM",0.8,"1024QAM",1,"")</f>
        <v>0.1</v>
      </c>
      <c r="F185" cm="1">
        <f t="array" ref="F185">_xlfn.SWITCH(D185,"QPSK",0.05,"16QAM",0.15,"64QAM",0.4,"256QAM",0.75,"1024QAM",1,"")</f>
        <v>0.05</v>
      </c>
      <c r="G185" t="s">
        <v>60</v>
      </c>
      <c r="H185">
        <v>1</v>
      </c>
      <c r="I185" t="s">
        <v>61</v>
      </c>
      <c r="J185">
        <v>2</v>
      </c>
      <c r="K185">
        <v>2</v>
      </c>
      <c r="L185" t="s">
        <v>62</v>
      </c>
      <c r="M185">
        <v>2</v>
      </c>
      <c r="N185">
        <v>0.47849999999999998</v>
      </c>
      <c r="O185">
        <v>0.4824</v>
      </c>
      <c r="P185">
        <v>5000</v>
      </c>
      <c r="Q185">
        <v>4984</v>
      </c>
      <c r="R185">
        <v>16</v>
      </c>
      <c r="S185">
        <v>1</v>
      </c>
      <c r="T185">
        <v>0</v>
      </c>
      <c r="W185">
        <v>4984</v>
      </c>
      <c r="X185">
        <v>0</v>
      </c>
      <c r="Y185">
        <v>0.32</v>
      </c>
      <c r="Z185">
        <v>0</v>
      </c>
      <c r="AB185">
        <v>60200000</v>
      </c>
      <c r="AC185">
        <v>60007360</v>
      </c>
      <c r="AD185">
        <v>60200000</v>
      </c>
      <c r="AE185">
        <v>60007360</v>
      </c>
      <c r="AG185">
        <v>100</v>
      </c>
      <c r="AH185">
        <v>99.68</v>
      </c>
      <c r="AI185">
        <v>1</v>
      </c>
      <c r="AJ185">
        <v>1.0032099999999999</v>
      </c>
      <c r="AK185">
        <v>0.48080000000000001</v>
      </c>
      <c r="AL185">
        <v>12</v>
      </c>
      <c r="AM185">
        <v>12001</v>
      </c>
      <c r="AN185">
        <v>1.2822</v>
      </c>
      <c r="AO185">
        <v>30</v>
      </c>
      <c r="AP185">
        <v>21.87</v>
      </c>
      <c r="AQ185">
        <v>0.72</v>
      </c>
      <c r="AR185">
        <v>-5.95</v>
      </c>
      <c r="AS185">
        <v>1.95</v>
      </c>
      <c r="AT185">
        <v>23.16</v>
      </c>
      <c r="AU185">
        <v>6666.69</v>
      </c>
      <c r="AV185">
        <v>35.81</v>
      </c>
      <c r="AW185">
        <v>15</v>
      </c>
      <c r="AX185">
        <v>7.92</v>
      </c>
      <c r="AY185">
        <v>18.468115999999998</v>
      </c>
      <c r="AZ185">
        <v>81.059811999999994</v>
      </c>
      <c r="BA185">
        <v>-14.976474</v>
      </c>
      <c r="BB185">
        <v>-2.2448999999999999</v>
      </c>
      <c r="BC185">
        <v>14.976474</v>
      </c>
      <c r="BD185">
        <v>42.297392000000002</v>
      </c>
      <c r="BE185">
        <v>164.69730000000001</v>
      </c>
      <c r="BF185">
        <v>-7.7659960000000003</v>
      </c>
      <c r="BG185">
        <v>4.1641019999999997</v>
      </c>
      <c r="BH185">
        <v>7.7659960000000003</v>
      </c>
    </row>
    <row r="186" spans="1:60" x14ac:dyDescent="0.25">
      <c r="A186" t="s">
        <v>428</v>
      </c>
      <c r="B186" t="s">
        <v>429</v>
      </c>
      <c r="C186">
        <v>16</v>
      </c>
      <c r="D186" t="s">
        <v>399</v>
      </c>
      <c r="E186" cm="1">
        <f t="array" ref="E186">_xlfn.SWITCH(D186,"QPSK",0.1,"16QAM",0.25,"64QAM",0.5,"256QAM",0.8,"1024QAM",1,"")</f>
        <v>0.1</v>
      </c>
      <c r="F186" cm="1">
        <f t="array" ref="F186">_xlfn.SWITCH(D186,"QPSK",0.05,"16QAM",0.15,"64QAM",0.4,"256QAM",0.75,"1024QAM",1,"")</f>
        <v>0.05</v>
      </c>
      <c r="G186" t="s">
        <v>60</v>
      </c>
      <c r="H186">
        <v>4</v>
      </c>
      <c r="I186" t="s">
        <v>61</v>
      </c>
      <c r="J186">
        <v>2</v>
      </c>
      <c r="K186">
        <v>2</v>
      </c>
      <c r="L186" t="s">
        <v>62</v>
      </c>
      <c r="M186">
        <v>2</v>
      </c>
      <c r="N186">
        <v>0.47849999999999998</v>
      </c>
      <c r="O186">
        <v>0.4824</v>
      </c>
      <c r="P186">
        <v>5000</v>
      </c>
      <c r="Q186">
        <v>4983</v>
      </c>
      <c r="R186">
        <v>17</v>
      </c>
      <c r="S186">
        <v>1</v>
      </c>
      <c r="T186">
        <v>0</v>
      </c>
      <c r="W186">
        <v>4983</v>
      </c>
      <c r="X186">
        <v>0</v>
      </c>
      <c r="Y186">
        <v>0.34</v>
      </c>
      <c r="Z186">
        <v>0</v>
      </c>
      <c r="AB186">
        <v>60200000</v>
      </c>
      <c r="AC186">
        <v>59995320</v>
      </c>
      <c r="AD186">
        <v>60200000</v>
      </c>
      <c r="AE186">
        <v>59995320</v>
      </c>
      <c r="AG186">
        <v>100</v>
      </c>
      <c r="AH186">
        <v>99.66</v>
      </c>
      <c r="AI186">
        <v>1</v>
      </c>
      <c r="AJ186">
        <v>1.003412</v>
      </c>
      <c r="AK186">
        <v>0.48070000000000002</v>
      </c>
      <c r="AL186">
        <v>12</v>
      </c>
      <c r="AM186">
        <v>11999</v>
      </c>
      <c r="AN186">
        <v>1.282</v>
      </c>
      <c r="AO186">
        <v>30</v>
      </c>
      <c r="AP186">
        <v>21.87</v>
      </c>
      <c r="AQ186">
        <v>0.72</v>
      </c>
      <c r="AR186">
        <v>-5.95</v>
      </c>
      <c r="AS186">
        <v>1.95</v>
      </c>
      <c r="AT186">
        <v>22.52</v>
      </c>
      <c r="AU186">
        <v>6666.69</v>
      </c>
      <c r="AV186">
        <v>35.81</v>
      </c>
      <c r="AW186">
        <v>15.01</v>
      </c>
      <c r="AX186">
        <v>7.92</v>
      </c>
      <c r="AY186">
        <v>18.456275999999999</v>
      </c>
      <c r="AZ186">
        <v>80.695862000000005</v>
      </c>
      <c r="BA186">
        <v>-14.981909999999999</v>
      </c>
      <c r="BB186">
        <v>-2.2850579999999998</v>
      </c>
      <c r="BC186">
        <v>14.981909999999999</v>
      </c>
      <c r="BD186">
        <v>42.294184000000001</v>
      </c>
      <c r="BE186">
        <v>164.387396</v>
      </c>
      <c r="BF186">
        <v>-7.7667120000000001</v>
      </c>
      <c r="BG186">
        <v>4.1431060000000004</v>
      </c>
      <c r="BH186">
        <v>7.7667120000000001</v>
      </c>
    </row>
    <row r="187" spans="1:60" x14ac:dyDescent="0.25">
      <c r="A187" t="s">
        <v>430</v>
      </c>
      <c r="B187" t="s">
        <v>431</v>
      </c>
      <c r="C187">
        <v>16</v>
      </c>
      <c r="D187" t="s">
        <v>399</v>
      </c>
      <c r="E187" cm="1">
        <f t="array" ref="E187">_xlfn.SWITCH(D187,"QPSK",0.1,"16QAM",0.25,"64QAM",0.5,"256QAM",0.8,"1024QAM",1,"")</f>
        <v>0.1</v>
      </c>
      <c r="F187" cm="1">
        <f t="array" ref="F187">_xlfn.SWITCH(D187,"QPSK",0.05,"16QAM",0.15,"64QAM",0.4,"256QAM",0.75,"1024QAM",1,"")</f>
        <v>0.05</v>
      </c>
      <c r="G187" t="s">
        <v>60</v>
      </c>
      <c r="H187">
        <v>8</v>
      </c>
      <c r="I187" t="s">
        <v>61</v>
      </c>
      <c r="J187">
        <v>2</v>
      </c>
      <c r="K187">
        <v>2</v>
      </c>
      <c r="L187" t="s">
        <v>62</v>
      </c>
      <c r="M187">
        <v>2</v>
      </c>
      <c r="N187">
        <v>0.47849999999999998</v>
      </c>
      <c r="O187">
        <v>0.4824</v>
      </c>
      <c r="P187">
        <v>5000</v>
      </c>
      <c r="Q187">
        <v>4979</v>
      </c>
      <c r="R187">
        <v>21</v>
      </c>
      <c r="S187">
        <v>1</v>
      </c>
      <c r="T187">
        <v>0</v>
      </c>
      <c r="W187">
        <v>4979</v>
      </c>
      <c r="X187">
        <v>0</v>
      </c>
      <c r="Y187">
        <v>0.42</v>
      </c>
      <c r="Z187">
        <v>0</v>
      </c>
      <c r="AB187">
        <v>60200000</v>
      </c>
      <c r="AC187">
        <v>59947160</v>
      </c>
      <c r="AD187">
        <v>60200000</v>
      </c>
      <c r="AE187">
        <v>59947160</v>
      </c>
      <c r="AG187">
        <v>100</v>
      </c>
      <c r="AH187">
        <v>99.58</v>
      </c>
      <c r="AI187">
        <v>1</v>
      </c>
      <c r="AJ187">
        <v>1.0042180000000001</v>
      </c>
      <c r="AK187">
        <v>0.4803</v>
      </c>
      <c r="AL187">
        <v>11.99</v>
      </c>
      <c r="AM187">
        <v>11989</v>
      </c>
      <c r="AN187">
        <v>1.2808999999999999</v>
      </c>
      <c r="AO187">
        <v>30</v>
      </c>
      <c r="AP187">
        <v>21.87</v>
      </c>
      <c r="AQ187">
        <v>0.72</v>
      </c>
      <c r="AR187">
        <v>-5.95</v>
      </c>
      <c r="AS187">
        <v>1.95</v>
      </c>
      <c r="AT187">
        <v>22.85</v>
      </c>
      <c r="AU187">
        <v>6666.69</v>
      </c>
      <c r="AV187">
        <v>35.81</v>
      </c>
      <c r="AW187">
        <v>15.01</v>
      </c>
      <c r="AX187">
        <v>7.92</v>
      </c>
      <c r="AY187">
        <v>18.454726000000001</v>
      </c>
      <c r="AZ187">
        <v>80.646045999999998</v>
      </c>
      <c r="BA187">
        <v>-14.982002</v>
      </c>
      <c r="BB187">
        <v>-2.2855539999999999</v>
      </c>
      <c r="BC187">
        <v>14.982002</v>
      </c>
      <c r="BD187">
        <v>42.292831999999997</v>
      </c>
      <c r="BE187">
        <v>164.84047200000001</v>
      </c>
      <c r="BF187">
        <v>-7.7656799999999997</v>
      </c>
      <c r="BG187">
        <v>4.1755639999999996</v>
      </c>
      <c r="BH187">
        <v>7.7656799999999997</v>
      </c>
    </row>
    <row r="188" spans="1:60" x14ac:dyDescent="0.25">
      <c r="A188" t="s">
        <v>432</v>
      </c>
      <c r="B188" t="s">
        <v>153</v>
      </c>
      <c r="C188">
        <v>18</v>
      </c>
      <c r="D188" t="s">
        <v>399</v>
      </c>
      <c r="E188" cm="1">
        <f t="array" ref="E188">_xlfn.SWITCH(D188,"QPSK",0.1,"16QAM",0.25,"64QAM",0.5,"256QAM",0.8,"1024QAM",1,"")</f>
        <v>0.1</v>
      </c>
      <c r="F188" cm="1">
        <f t="array" ref="F188">_xlfn.SWITCH(D188,"QPSK",0.05,"16QAM",0.15,"64QAM",0.4,"256QAM",0.75,"1024QAM",1,"")</f>
        <v>0.05</v>
      </c>
      <c r="G188" t="s">
        <v>60</v>
      </c>
      <c r="H188">
        <v>1</v>
      </c>
      <c r="I188" t="s">
        <v>61</v>
      </c>
      <c r="J188">
        <v>2</v>
      </c>
      <c r="K188">
        <v>2</v>
      </c>
      <c r="L188" t="s">
        <v>62</v>
      </c>
      <c r="M188">
        <v>2</v>
      </c>
      <c r="N188">
        <v>0.47849999999999998</v>
      </c>
      <c r="O188">
        <v>0.4824</v>
      </c>
      <c r="P188">
        <v>5000</v>
      </c>
      <c r="Q188">
        <v>4995</v>
      </c>
      <c r="R188">
        <v>5</v>
      </c>
      <c r="S188">
        <v>1</v>
      </c>
      <c r="T188">
        <v>0</v>
      </c>
      <c r="W188">
        <v>4995</v>
      </c>
      <c r="X188">
        <v>0</v>
      </c>
      <c r="Y188">
        <v>0.1</v>
      </c>
      <c r="Z188">
        <v>0</v>
      </c>
      <c r="AB188">
        <v>60200000</v>
      </c>
      <c r="AC188">
        <v>60139800</v>
      </c>
      <c r="AD188">
        <v>60200000</v>
      </c>
      <c r="AE188">
        <v>60139800</v>
      </c>
      <c r="AG188">
        <v>100</v>
      </c>
      <c r="AH188">
        <v>99.9</v>
      </c>
      <c r="AI188">
        <v>1</v>
      </c>
      <c r="AJ188">
        <v>1.001001</v>
      </c>
      <c r="AK188">
        <v>0.4819</v>
      </c>
      <c r="AL188">
        <v>12.03</v>
      </c>
      <c r="AM188">
        <v>12028</v>
      </c>
      <c r="AN188">
        <v>1.2849999999999999</v>
      </c>
      <c r="AO188">
        <v>30</v>
      </c>
      <c r="AP188">
        <v>21.87</v>
      </c>
      <c r="AQ188">
        <v>0.72</v>
      </c>
      <c r="AR188">
        <v>-5.96</v>
      </c>
      <c r="AS188">
        <v>1.95</v>
      </c>
      <c r="AT188">
        <v>23.66</v>
      </c>
      <c r="AU188">
        <v>6666.69</v>
      </c>
      <c r="AV188">
        <v>35.81</v>
      </c>
      <c r="AW188">
        <v>16.52</v>
      </c>
      <c r="AX188">
        <v>9.0299999999999994</v>
      </c>
      <c r="AY188">
        <v>15.590833999999999</v>
      </c>
      <c r="AZ188">
        <v>71.542907999999997</v>
      </c>
      <c r="BA188">
        <v>-16.503133999999999</v>
      </c>
      <c r="BB188">
        <v>-3.3864700000000001</v>
      </c>
      <c r="BC188">
        <v>16.503133999999999</v>
      </c>
      <c r="BD188">
        <v>37.577052000000002</v>
      </c>
      <c r="BE188">
        <v>157.732978</v>
      </c>
      <c r="BF188">
        <v>-8.9060839999999999</v>
      </c>
      <c r="BG188">
        <v>3.711516</v>
      </c>
      <c r="BH188">
        <v>8.9060839999999999</v>
      </c>
    </row>
    <row r="189" spans="1:60" x14ac:dyDescent="0.25">
      <c r="A189" t="s">
        <v>433</v>
      </c>
      <c r="B189" t="s">
        <v>434</v>
      </c>
      <c r="C189">
        <v>18</v>
      </c>
      <c r="D189" t="s">
        <v>399</v>
      </c>
      <c r="E189" cm="1">
        <f t="array" ref="E189">_xlfn.SWITCH(D189,"QPSK",0.1,"16QAM",0.25,"64QAM",0.5,"256QAM",0.8,"1024QAM",1,"")</f>
        <v>0.1</v>
      </c>
      <c r="F189" cm="1">
        <f t="array" ref="F189">_xlfn.SWITCH(D189,"QPSK",0.05,"16QAM",0.15,"64QAM",0.4,"256QAM",0.75,"1024QAM",1,"")</f>
        <v>0.05</v>
      </c>
      <c r="G189" t="s">
        <v>60</v>
      </c>
      <c r="H189">
        <v>4</v>
      </c>
      <c r="I189" t="s">
        <v>61</v>
      </c>
      <c r="J189">
        <v>2</v>
      </c>
      <c r="K189">
        <v>2</v>
      </c>
      <c r="L189" t="s">
        <v>62</v>
      </c>
      <c r="M189">
        <v>2</v>
      </c>
      <c r="N189">
        <v>0.47849999999999998</v>
      </c>
      <c r="O189">
        <v>0.4824</v>
      </c>
      <c r="P189">
        <v>5000</v>
      </c>
      <c r="Q189">
        <v>4993</v>
      </c>
      <c r="R189">
        <v>7</v>
      </c>
      <c r="S189">
        <v>1</v>
      </c>
      <c r="T189">
        <v>0</v>
      </c>
      <c r="W189">
        <v>4993</v>
      </c>
      <c r="X189">
        <v>0</v>
      </c>
      <c r="Y189">
        <v>0.14000000000000001</v>
      </c>
      <c r="Z189">
        <v>0</v>
      </c>
      <c r="AB189">
        <v>60200000</v>
      </c>
      <c r="AC189">
        <v>60115720</v>
      </c>
      <c r="AD189">
        <v>60200000</v>
      </c>
      <c r="AE189">
        <v>60115720</v>
      </c>
      <c r="AG189">
        <v>100</v>
      </c>
      <c r="AH189">
        <v>99.86</v>
      </c>
      <c r="AI189">
        <v>1</v>
      </c>
      <c r="AJ189">
        <v>1.0014019999999999</v>
      </c>
      <c r="AK189">
        <v>0.48170000000000002</v>
      </c>
      <c r="AL189">
        <v>12.02</v>
      </c>
      <c r="AM189">
        <v>12023</v>
      </c>
      <c r="AN189">
        <v>1.2845</v>
      </c>
      <c r="AO189">
        <v>30</v>
      </c>
      <c r="AP189">
        <v>21.87</v>
      </c>
      <c r="AQ189">
        <v>0.72</v>
      </c>
      <c r="AR189">
        <v>-5.96</v>
      </c>
      <c r="AS189">
        <v>1.95</v>
      </c>
      <c r="AT189">
        <v>23.93</v>
      </c>
      <c r="AU189">
        <v>6666.69</v>
      </c>
      <c r="AV189">
        <v>35.81</v>
      </c>
      <c r="AW189">
        <v>16.52</v>
      </c>
      <c r="AX189">
        <v>9.0299999999999994</v>
      </c>
      <c r="AY189">
        <v>15.582243999999999</v>
      </c>
      <c r="AZ189">
        <v>71.575472000000005</v>
      </c>
      <c r="BA189">
        <v>-16.507424</v>
      </c>
      <c r="BB189">
        <v>-3.3814099999999998</v>
      </c>
      <c r="BC189">
        <v>16.507424</v>
      </c>
      <c r="BD189">
        <v>37.557442000000002</v>
      </c>
      <c r="BE189">
        <v>156.773946</v>
      </c>
      <c r="BF189">
        <v>-8.9108079999999994</v>
      </c>
      <c r="BG189">
        <v>3.669384</v>
      </c>
      <c r="BH189">
        <v>8.9108079999999994</v>
      </c>
    </row>
    <row r="190" spans="1:60" x14ac:dyDescent="0.25">
      <c r="A190" t="s">
        <v>435</v>
      </c>
      <c r="B190" t="s">
        <v>436</v>
      </c>
      <c r="C190">
        <v>18</v>
      </c>
      <c r="D190" t="s">
        <v>399</v>
      </c>
      <c r="E190" cm="1">
        <f t="array" ref="E190">_xlfn.SWITCH(D190,"QPSK",0.1,"16QAM",0.25,"64QAM",0.5,"256QAM",0.8,"1024QAM",1,"")</f>
        <v>0.1</v>
      </c>
      <c r="F190" cm="1">
        <f t="array" ref="F190">_xlfn.SWITCH(D190,"QPSK",0.05,"16QAM",0.15,"64QAM",0.4,"256QAM",0.75,"1024QAM",1,"")</f>
        <v>0.05</v>
      </c>
      <c r="G190" t="s">
        <v>60</v>
      </c>
      <c r="H190">
        <v>8</v>
      </c>
      <c r="I190" t="s">
        <v>61</v>
      </c>
      <c r="J190">
        <v>2</v>
      </c>
      <c r="K190">
        <v>2</v>
      </c>
      <c r="L190" t="s">
        <v>62</v>
      </c>
      <c r="M190">
        <v>2</v>
      </c>
      <c r="N190">
        <v>0.47849999999999998</v>
      </c>
      <c r="O190">
        <v>0.4824</v>
      </c>
      <c r="P190">
        <v>5000</v>
      </c>
      <c r="Q190">
        <v>4992</v>
      </c>
      <c r="R190">
        <v>8</v>
      </c>
      <c r="S190">
        <v>1</v>
      </c>
      <c r="T190">
        <v>0</v>
      </c>
      <c r="W190">
        <v>4992</v>
      </c>
      <c r="X190">
        <v>0</v>
      </c>
      <c r="Y190">
        <v>0.16</v>
      </c>
      <c r="Z190">
        <v>0</v>
      </c>
      <c r="AB190">
        <v>60200000</v>
      </c>
      <c r="AC190">
        <v>60103680</v>
      </c>
      <c r="AD190">
        <v>60200000</v>
      </c>
      <c r="AE190">
        <v>60103680</v>
      </c>
      <c r="AG190">
        <v>100</v>
      </c>
      <c r="AH190">
        <v>99.84</v>
      </c>
      <c r="AI190">
        <v>1</v>
      </c>
      <c r="AJ190">
        <v>1.001603</v>
      </c>
      <c r="AK190">
        <v>0.48159999999999997</v>
      </c>
      <c r="AL190">
        <v>12.02</v>
      </c>
      <c r="AM190">
        <v>12021</v>
      </c>
      <c r="AN190">
        <v>1.2843</v>
      </c>
      <c r="AO190">
        <v>30</v>
      </c>
      <c r="AP190">
        <v>21.87</v>
      </c>
      <c r="AQ190">
        <v>0.72</v>
      </c>
      <c r="AR190">
        <v>-5.96</v>
      </c>
      <c r="AS190">
        <v>1.95</v>
      </c>
      <c r="AT190">
        <v>24.08</v>
      </c>
      <c r="AU190">
        <v>6666.69</v>
      </c>
      <c r="AV190">
        <v>35.81</v>
      </c>
      <c r="AW190">
        <v>16.52</v>
      </c>
      <c r="AX190">
        <v>9.0299999999999994</v>
      </c>
      <c r="AY190">
        <v>15.586444</v>
      </c>
      <c r="AZ190">
        <v>71.863585999999998</v>
      </c>
      <c r="BA190">
        <v>-16.506798</v>
      </c>
      <c r="BB190">
        <v>-3.357602</v>
      </c>
      <c r="BC190">
        <v>16.506798</v>
      </c>
      <c r="BD190">
        <v>37.568770000000001</v>
      </c>
      <c r="BE190">
        <v>157.449894</v>
      </c>
      <c r="BF190">
        <v>-8.9092000000000002</v>
      </c>
      <c r="BG190">
        <v>3.7008179999999999</v>
      </c>
      <c r="BH190">
        <v>8.9092000000000002</v>
      </c>
    </row>
    <row r="191" spans="1:60" x14ac:dyDescent="0.25">
      <c r="A191" t="s">
        <v>437</v>
      </c>
      <c r="B191" t="s">
        <v>153</v>
      </c>
      <c r="C191">
        <v>2</v>
      </c>
      <c r="D191" t="s">
        <v>399</v>
      </c>
      <c r="E191" cm="1">
        <f t="array" ref="E191">_xlfn.SWITCH(D191,"QPSK",0.1,"16QAM",0.25,"64QAM",0.5,"256QAM",0.8,"1024QAM",1,"")</f>
        <v>0.1</v>
      </c>
      <c r="F191" cm="1">
        <f t="array" ref="F191">_xlfn.SWITCH(D191,"QPSK",0.05,"16QAM",0.15,"64QAM",0.4,"256QAM",0.75,"1024QAM",1,"")</f>
        <v>0.05</v>
      </c>
      <c r="G191" t="s">
        <v>60</v>
      </c>
      <c r="H191">
        <v>1</v>
      </c>
      <c r="I191" t="s">
        <v>61</v>
      </c>
      <c r="J191">
        <v>2</v>
      </c>
      <c r="K191">
        <v>2</v>
      </c>
      <c r="L191" t="s">
        <v>62</v>
      </c>
      <c r="M191">
        <v>2</v>
      </c>
      <c r="N191">
        <v>0.47849999999999998</v>
      </c>
      <c r="O191">
        <v>0.4824</v>
      </c>
      <c r="P191">
        <v>5000</v>
      </c>
      <c r="Q191">
        <v>2458</v>
      </c>
      <c r="R191">
        <v>2542</v>
      </c>
      <c r="S191">
        <v>2.0299999999999998</v>
      </c>
      <c r="T191">
        <v>1.03</v>
      </c>
      <c r="W191">
        <v>2421</v>
      </c>
      <c r="X191">
        <v>0</v>
      </c>
      <c r="Y191">
        <v>51.58</v>
      </c>
      <c r="Z191">
        <v>1.51</v>
      </c>
      <c r="AB191">
        <v>60200000</v>
      </c>
      <c r="AC191">
        <v>29148840</v>
      </c>
      <c r="AD191">
        <v>60200000</v>
      </c>
      <c r="AE191">
        <v>29148840</v>
      </c>
      <c r="AG191">
        <v>98.49</v>
      </c>
      <c r="AH191">
        <v>48.42</v>
      </c>
      <c r="AI191">
        <v>1</v>
      </c>
      <c r="AJ191">
        <v>2.0341740000000001</v>
      </c>
      <c r="AK191">
        <v>0.2336</v>
      </c>
      <c r="AL191">
        <v>5.83</v>
      </c>
      <c r="AM191">
        <v>5830</v>
      </c>
      <c r="AN191">
        <v>0.62280000000000002</v>
      </c>
      <c r="AO191">
        <v>30</v>
      </c>
      <c r="AP191">
        <v>21.87</v>
      </c>
      <c r="AQ191">
        <v>0.72</v>
      </c>
      <c r="AR191">
        <v>-5.83</v>
      </c>
      <c r="AS191">
        <v>1.89</v>
      </c>
      <c r="AT191">
        <v>13.05</v>
      </c>
      <c r="AU191">
        <v>6666.69</v>
      </c>
      <c r="AV191">
        <v>35.81</v>
      </c>
      <c r="AW191">
        <v>6.16</v>
      </c>
      <c r="AX191">
        <v>3.42</v>
      </c>
      <c r="AY191">
        <v>50.864392000000002</v>
      </c>
      <c r="AZ191">
        <v>148.24666400000001</v>
      </c>
      <c r="BA191">
        <v>-5.932658</v>
      </c>
      <c r="BB191">
        <v>3.3034919999999999</v>
      </c>
      <c r="BC191">
        <v>5.932658</v>
      </c>
      <c r="BD191">
        <v>64.670192</v>
      </c>
      <c r="BE191">
        <v>239.564526</v>
      </c>
      <c r="BF191">
        <v>-3.8006760000000002</v>
      </c>
      <c r="BG191">
        <v>7.415476</v>
      </c>
      <c r="BH191">
        <v>3.8006760000000002</v>
      </c>
    </row>
    <row r="192" spans="1:60" x14ac:dyDescent="0.25">
      <c r="A192" t="s">
        <v>438</v>
      </c>
      <c r="B192" t="s">
        <v>439</v>
      </c>
      <c r="C192">
        <v>2</v>
      </c>
      <c r="D192" t="s">
        <v>399</v>
      </c>
      <c r="E192" cm="1">
        <f t="array" ref="E192">_xlfn.SWITCH(D192,"QPSK",0.1,"16QAM",0.25,"64QAM",0.5,"256QAM",0.8,"1024QAM",1,"")</f>
        <v>0.1</v>
      </c>
      <c r="F192" cm="1">
        <f t="array" ref="F192">_xlfn.SWITCH(D192,"QPSK",0.05,"16QAM",0.15,"64QAM",0.4,"256QAM",0.75,"1024QAM",1,"")</f>
        <v>0.05</v>
      </c>
      <c r="G192" t="s">
        <v>60</v>
      </c>
      <c r="H192">
        <v>4</v>
      </c>
      <c r="I192" t="s">
        <v>61</v>
      </c>
      <c r="J192">
        <v>2</v>
      </c>
      <c r="K192">
        <v>2</v>
      </c>
      <c r="L192" t="s">
        <v>62</v>
      </c>
      <c r="M192">
        <v>2</v>
      </c>
      <c r="N192">
        <v>0.47849999999999998</v>
      </c>
      <c r="O192">
        <v>0.4824</v>
      </c>
      <c r="P192">
        <v>5000</v>
      </c>
      <c r="Q192">
        <v>2452</v>
      </c>
      <c r="R192">
        <v>2548</v>
      </c>
      <c r="S192">
        <v>2.04</v>
      </c>
      <c r="T192">
        <v>1.04</v>
      </c>
      <c r="W192">
        <v>2417</v>
      </c>
      <c r="X192">
        <v>0</v>
      </c>
      <c r="Y192">
        <v>51.66</v>
      </c>
      <c r="Z192">
        <v>1.43</v>
      </c>
      <c r="AB192">
        <v>60200000</v>
      </c>
      <c r="AC192">
        <v>29100680</v>
      </c>
      <c r="AD192">
        <v>60200000</v>
      </c>
      <c r="AE192">
        <v>29100680</v>
      </c>
      <c r="AG192">
        <v>98.57</v>
      </c>
      <c r="AH192">
        <v>48.34</v>
      </c>
      <c r="AI192">
        <v>1</v>
      </c>
      <c r="AJ192">
        <v>2.0391520000000001</v>
      </c>
      <c r="AK192">
        <v>0.23319999999999999</v>
      </c>
      <c r="AL192">
        <v>5.82</v>
      </c>
      <c r="AM192">
        <v>5820</v>
      </c>
      <c r="AN192">
        <v>0.62180000000000002</v>
      </c>
      <c r="AO192">
        <v>30</v>
      </c>
      <c r="AP192">
        <v>21.87</v>
      </c>
      <c r="AQ192">
        <v>0.72</v>
      </c>
      <c r="AR192">
        <v>-5.83</v>
      </c>
      <c r="AS192">
        <v>1.89</v>
      </c>
      <c r="AT192">
        <v>13.07</v>
      </c>
      <c r="AU192">
        <v>6666.69</v>
      </c>
      <c r="AV192">
        <v>35.81</v>
      </c>
      <c r="AW192">
        <v>6.16</v>
      </c>
      <c r="AX192">
        <v>3.42</v>
      </c>
      <c r="AY192">
        <v>50.862520000000004</v>
      </c>
      <c r="AZ192">
        <v>148.136402</v>
      </c>
      <c r="BA192">
        <v>-5.9329859999999996</v>
      </c>
      <c r="BB192">
        <v>3.2999320000000001</v>
      </c>
      <c r="BC192">
        <v>5.9329859999999996</v>
      </c>
      <c r="BD192">
        <v>64.680778000000004</v>
      </c>
      <c r="BE192">
        <v>240.33898600000001</v>
      </c>
      <c r="BF192">
        <v>-3.7993459999999999</v>
      </c>
      <c r="BG192">
        <v>7.4391439999999998</v>
      </c>
      <c r="BH192">
        <v>3.7993459999999999</v>
      </c>
    </row>
    <row r="193" spans="1:60" x14ac:dyDescent="0.25">
      <c r="A193" t="s">
        <v>440</v>
      </c>
      <c r="B193" t="s">
        <v>441</v>
      </c>
      <c r="C193">
        <v>2</v>
      </c>
      <c r="D193" t="s">
        <v>399</v>
      </c>
      <c r="E193" cm="1">
        <f t="array" ref="E193">_xlfn.SWITCH(D193,"QPSK",0.1,"16QAM",0.25,"64QAM",0.5,"256QAM",0.8,"1024QAM",1,"")</f>
        <v>0.1</v>
      </c>
      <c r="F193" cm="1">
        <f t="array" ref="F193">_xlfn.SWITCH(D193,"QPSK",0.05,"16QAM",0.15,"64QAM",0.4,"256QAM",0.75,"1024QAM",1,"")</f>
        <v>0.05</v>
      </c>
      <c r="G193" t="s">
        <v>60</v>
      </c>
      <c r="H193">
        <v>8</v>
      </c>
      <c r="I193" t="s">
        <v>61</v>
      </c>
      <c r="J193">
        <v>2</v>
      </c>
      <c r="K193">
        <v>2</v>
      </c>
      <c r="L193" t="s">
        <v>62</v>
      </c>
      <c r="M193">
        <v>2</v>
      </c>
      <c r="N193">
        <v>0.47849999999999998</v>
      </c>
      <c r="O193">
        <v>0.4824</v>
      </c>
      <c r="P193">
        <v>5000</v>
      </c>
      <c r="Q193">
        <v>2438</v>
      </c>
      <c r="R193">
        <v>2562</v>
      </c>
      <c r="S193">
        <v>2.0499999999999998</v>
      </c>
      <c r="T193">
        <v>1.05</v>
      </c>
      <c r="W193">
        <v>2415</v>
      </c>
      <c r="X193">
        <v>0</v>
      </c>
      <c r="Y193">
        <v>51.7</v>
      </c>
      <c r="Z193">
        <v>0.94</v>
      </c>
      <c r="AB193">
        <v>60200000</v>
      </c>
      <c r="AC193">
        <v>29076600</v>
      </c>
      <c r="AD193">
        <v>60200000</v>
      </c>
      <c r="AE193">
        <v>29076600</v>
      </c>
      <c r="AG193">
        <v>99.06</v>
      </c>
      <c r="AH193">
        <v>48.3</v>
      </c>
      <c r="AI193">
        <v>1</v>
      </c>
      <c r="AJ193">
        <v>2.0508609999999998</v>
      </c>
      <c r="AK193">
        <v>0.23300000000000001</v>
      </c>
      <c r="AL193">
        <v>5.82</v>
      </c>
      <c r="AM193">
        <v>5815</v>
      </c>
      <c r="AN193">
        <v>0.62129999999999996</v>
      </c>
      <c r="AO193">
        <v>30</v>
      </c>
      <c r="AP193">
        <v>21.87</v>
      </c>
      <c r="AQ193">
        <v>0.72</v>
      </c>
      <c r="AR193">
        <v>-5.83</v>
      </c>
      <c r="AS193">
        <v>1.89</v>
      </c>
      <c r="AT193">
        <v>13.05</v>
      </c>
      <c r="AU193">
        <v>6666.69</v>
      </c>
      <c r="AV193">
        <v>35.81</v>
      </c>
      <c r="AW193">
        <v>6.16</v>
      </c>
      <c r="AX193">
        <v>3.42</v>
      </c>
      <c r="AY193">
        <v>50.856608000000001</v>
      </c>
      <c r="AZ193">
        <v>147.86877799999999</v>
      </c>
      <c r="BA193">
        <v>-5.9339779999999998</v>
      </c>
      <c r="BB193">
        <v>3.283312</v>
      </c>
      <c r="BC193">
        <v>5.9339779999999998</v>
      </c>
      <c r="BD193">
        <v>64.687201999999999</v>
      </c>
      <c r="BE193">
        <v>239.73768799999999</v>
      </c>
      <c r="BF193">
        <v>-3.7983280000000001</v>
      </c>
      <c r="BG193">
        <v>7.4218419999999998</v>
      </c>
      <c r="BH193">
        <v>3.7983280000000001</v>
      </c>
    </row>
    <row r="194" spans="1:60" x14ac:dyDescent="0.25">
      <c r="A194" t="s">
        <v>442</v>
      </c>
      <c r="B194" t="s">
        <v>153</v>
      </c>
      <c r="C194">
        <v>20</v>
      </c>
      <c r="D194" t="s">
        <v>399</v>
      </c>
      <c r="E194" cm="1">
        <f t="array" ref="E194">_xlfn.SWITCH(D194,"QPSK",0.1,"16QAM",0.25,"64QAM",0.5,"256QAM",0.8,"1024QAM",1,"")</f>
        <v>0.1</v>
      </c>
      <c r="F194" cm="1">
        <f t="array" ref="F194">_xlfn.SWITCH(D194,"QPSK",0.05,"16QAM",0.15,"64QAM",0.4,"256QAM",0.75,"1024QAM",1,"")</f>
        <v>0.05</v>
      </c>
      <c r="G194" t="s">
        <v>60</v>
      </c>
      <c r="H194">
        <v>1</v>
      </c>
      <c r="I194" t="s">
        <v>61</v>
      </c>
      <c r="J194">
        <v>2</v>
      </c>
      <c r="K194">
        <v>2</v>
      </c>
      <c r="L194" t="s">
        <v>62</v>
      </c>
      <c r="M194">
        <v>2</v>
      </c>
      <c r="N194">
        <v>0.47849999999999998</v>
      </c>
      <c r="O194">
        <v>0.4824</v>
      </c>
      <c r="P194">
        <v>5000</v>
      </c>
      <c r="Q194">
        <v>4996</v>
      </c>
      <c r="R194">
        <v>4</v>
      </c>
      <c r="S194">
        <v>1</v>
      </c>
      <c r="T194">
        <v>0</v>
      </c>
      <c r="W194">
        <v>4996</v>
      </c>
      <c r="X194">
        <v>0</v>
      </c>
      <c r="Y194">
        <v>0.08</v>
      </c>
      <c r="Z194">
        <v>0</v>
      </c>
      <c r="AB194">
        <v>60200000</v>
      </c>
      <c r="AC194">
        <v>60151840</v>
      </c>
      <c r="AD194">
        <v>60200000</v>
      </c>
      <c r="AE194">
        <v>60151840</v>
      </c>
      <c r="AG194">
        <v>100</v>
      </c>
      <c r="AH194">
        <v>99.92</v>
      </c>
      <c r="AI194">
        <v>1</v>
      </c>
      <c r="AJ194">
        <v>1.0008010000000001</v>
      </c>
      <c r="AK194">
        <v>0.48199999999999998</v>
      </c>
      <c r="AL194">
        <v>12.03</v>
      </c>
      <c r="AM194">
        <v>12030</v>
      </c>
      <c r="AN194">
        <v>1.2853000000000001</v>
      </c>
      <c r="AO194">
        <v>30</v>
      </c>
      <c r="AP194">
        <v>21.87</v>
      </c>
      <c r="AQ194">
        <v>0.72</v>
      </c>
      <c r="AR194">
        <v>-5.98</v>
      </c>
      <c r="AS194">
        <v>1.95</v>
      </c>
      <c r="AT194">
        <v>25.7</v>
      </c>
      <c r="AU194">
        <v>6666.69</v>
      </c>
      <c r="AV194">
        <v>35.81</v>
      </c>
      <c r="AW194">
        <v>18.09</v>
      </c>
      <c r="AX194">
        <v>10.25</v>
      </c>
      <c r="AY194">
        <v>13.056366000000001</v>
      </c>
      <c r="AZ194">
        <v>62.197581999999997</v>
      </c>
      <c r="BA194">
        <v>-18.084654</v>
      </c>
      <c r="BB194">
        <v>-4.6540059999999999</v>
      </c>
      <c r="BC194">
        <v>18.084654</v>
      </c>
      <c r="BD194">
        <v>32.905923999999999</v>
      </c>
      <c r="BE194">
        <v>146.87472199999999</v>
      </c>
      <c r="BF194">
        <v>-10.161604000000001</v>
      </c>
      <c r="BG194">
        <v>3.017582</v>
      </c>
      <c r="BH194">
        <v>10.161604000000001</v>
      </c>
    </row>
    <row r="195" spans="1:60" x14ac:dyDescent="0.25">
      <c r="A195" t="s">
        <v>443</v>
      </c>
      <c r="B195" t="s">
        <v>444</v>
      </c>
      <c r="C195">
        <v>20</v>
      </c>
      <c r="D195" t="s">
        <v>399</v>
      </c>
      <c r="E195" cm="1">
        <f t="array" ref="E195">_xlfn.SWITCH(D195,"QPSK",0.1,"16QAM",0.25,"64QAM",0.5,"256QAM",0.8,"1024QAM",1,"")</f>
        <v>0.1</v>
      </c>
      <c r="F195" cm="1">
        <f t="array" ref="F195">_xlfn.SWITCH(D195,"QPSK",0.05,"16QAM",0.15,"64QAM",0.4,"256QAM",0.75,"1024QAM",1,"")</f>
        <v>0.05</v>
      </c>
      <c r="G195" t="s">
        <v>60</v>
      </c>
      <c r="H195">
        <v>4</v>
      </c>
      <c r="I195" t="s">
        <v>61</v>
      </c>
      <c r="J195">
        <v>2</v>
      </c>
      <c r="K195">
        <v>2</v>
      </c>
      <c r="L195" t="s">
        <v>62</v>
      </c>
      <c r="M195">
        <v>2</v>
      </c>
      <c r="N195">
        <v>0.47849999999999998</v>
      </c>
      <c r="O195">
        <v>0.4824</v>
      </c>
      <c r="P195">
        <v>5000</v>
      </c>
      <c r="Q195">
        <v>4996</v>
      </c>
      <c r="R195">
        <v>4</v>
      </c>
      <c r="S195">
        <v>1</v>
      </c>
      <c r="T195">
        <v>0</v>
      </c>
      <c r="W195">
        <v>4996</v>
      </c>
      <c r="X195">
        <v>0</v>
      </c>
      <c r="Y195">
        <v>0.08</v>
      </c>
      <c r="Z195">
        <v>0</v>
      </c>
      <c r="AB195">
        <v>60200000</v>
      </c>
      <c r="AC195">
        <v>60151840</v>
      </c>
      <c r="AD195">
        <v>60200000</v>
      </c>
      <c r="AE195">
        <v>60151840</v>
      </c>
      <c r="AG195">
        <v>100</v>
      </c>
      <c r="AH195">
        <v>99.92</v>
      </c>
      <c r="AI195">
        <v>1</v>
      </c>
      <c r="AJ195">
        <v>1.0008010000000001</v>
      </c>
      <c r="AK195">
        <v>0.48199999999999998</v>
      </c>
      <c r="AL195">
        <v>12.03</v>
      </c>
      <c r="AM195">
        <v>12030</v>
      </c>
      <c r="AN195">
        <v>1.2853000000000001</v>
      </c>
      <c r="AO195">
        <v>30</v>
      </c>
      <c r="AP195">
        <v>21.87</v>
      </c>
      <c r="AQ195">
        <v>0.72</v>
      </c>
      <c r="AR195">
        <v>-5.97</v>
      </c>
      <c r="AS195">
        <v>1.95</v>
      </c>
      <c r="AT195">
        <v>25.45</v>
      </c>
      <c r="AU195">
        <v>6666.69</v>
      </c>
      <c r="AV195">
        <v>35.81</v>
      </c>
      <c r="AW195">
        <v>18.100000000000001</v>
      </c>
      <c r="AX195">
        <v>10.25</v>
      </c>
      <c r="AY195">
        <v>13.053646000000001</v>
      </c>
      <c r="AZ195">
        <v>62.076509999999999</v>
      </c>
      <c r="BA195">
        <v>-18.086852</v>
      </c>
      <c r="BB195">
        <v>-4.6745400000000004</v>
      </c>
      <c r="BC195">
        <v>18.086852</v>
      </c>
      <c r="BD195">
        <v>32.916803999999999</v>
      </c>
      <c r="BE195">
        <v>146.67075800000001</v>
      </c>
      <c r="BF195">
        <v>-10.159547999999999</v>
      </c>
      <c r="BG195">
        <v>2.997566</v>
      </c>
      <c r="BH195">
        <v>10.159547999999999</v>
      </c>
    </row>
    <row r="196" spans="1:60" x14ac:dyDescent="0.25">
      <c r="A196" t="s">
        <v>445</v>
      </c>
      <c r="B196" t="s">
        <v>446</v>
      </c>
      <c r="C196">
        <v>20</v>
      </c>
      <c r="D196" t="s">
        <v>399</v>
      </c>
      <c r="E196" cm="1">
        <f t="array" ref="E196">_xlfn.SWITCH(D196,"QPSK",0.1,"16QAM",0.25,"64QAM",0.5,"256QAM",0.8,"1024QAM",1,"")</f>
        <v>0.1</v>
      </c>
      <c r="F196" cm="1">
        <f t="array" ref="F196">_xlfn.SWITCH(D196,"QPSK",0.05,"16QAM",0.15,"64QAM",0.4,"256QAM",0.75,"1024QAM",1,"")</f>
        <v>0.05</v>
      </c>
      <c r="G196" t="s">
        <v>60</v>
      </c>
      <c r="H196">
        <v>8</v>
      </c>
      <c r="I196" t="s">
        <v>61</v>
      </c>
      <c r="J196">
        <v>2</v>
      </c>
      <c r="K196">
        <v>2</v>
      </c>
      <c r="L196" t="s">
        <v>62</v>
      </c>
      <c r="M196">
        <v>2</v>
      </c>
      <c r="N196">
        <v>0.47849999999999998</v>
      </c>
      <c r="O196">
        <v>0.4824</v>
      </c>
      <c r="P196">
        <v>5000</v>
      </c>
      <c r="Q196">
        <v>4992</v>
      </c>
      <c r="R196">
        <v>8</v>
      </c>
      <c r="S196">
        <v>1</v>
      </c>
      <c r="T196">
        <v>0</v>
      </c>
      <c r="W196">
        <v>4992</v>
      </c>
      <c r="X196">
        <v>0</v>
      </c>
      <c r="Y196">
        <v>0.16</v>
      </c>
      <c r="Z196">
        <v>0</v>
      </c>
      <c r="AB196">
        <v>60200000</v>
      </c>
      <c r="AC196">
        <v>60103680</v>
      </c>
      <c r="AD196">
        <v>60200000</v>
      </c>
      <c r="AE196">
        <v>60103680</v>
      </c>
      <c r="AG196">
        <v>100</v>
      </c>
      <c r="AH196">
        <v>99.84</v>
      </c>
      <c r="AI196">
        <v>1</v>
      </c>
      <c r="AJ196">
        <v>1.001603</v>
      </c>
      <c r="AK196">
        <v>0.48159999999999997</v>
      </c>
      <c r="AL196">
        <v>12.02</v>
      </c>
      <c r="AM196">
        <v>12021</v>
      </c>
      <c r="AN196">
        <v>1.2843</v>
      </c>
      <c r="AO196">
        <v>30</v>
      </c>
      <c r="AP196">
        <v>21.87</v>
      </c>
      <c r="AQ196">
        <v>0.72</v>
      </c>
      <c r="AR196">
        <v>-5.98</v>
      </c>
      <c r="AS196">
        <v>1.95</v>
      </c>
      <c r="AT196">
        <v>25.95</v>
      </c>
      <c r="AU196">
        <v>6666.69</v>
      </c>
      <c r="AV196">
        <v>35.81</v>
      </c>
      <c r="AW196">
        <v>18.09</v>
      </c>
      <c r="AX196">
        <v>10.25</v>
      </c>
      <c r="AY196">
        <v>13.058427999999999</v>
      </c>
      <c r="AZ196">
        <v>62.346896000000001</v>
      </c>
      <c r="BA196">
        <v>-18.083048000000002</v>
      </c>
      <c r="BB196">
        <v>-4.6379299999999999</v>
      </c>
      <c r="BC196">
        <v>18.083048000000002</v>
      </c>
      <c r="BD196">
        <v>32.913649999999997</v>
      </c>
      <c r="BE196">
        <v>146.86519799999999</v>
      </c>
      <c r="BF196">
        <v>-10.158318</v>
      </c>
      <c r="BG196">
        <v>3.0191919999999999</v>
      </c>
      <c r="BH196">
        <v>10.158318</v>
      </c>
    </row>
    <row r="197" spans="1:60" x14ac:dyDescent="0.25">
      <c r="A197" t="s">
        <v>447</v>
      </c>
      <c r="B197" t="s">
        <v>448</v>
      </c>
      <c r="C197">
        <v>22</v>
      </c>
      <c r="D197" t="s">
        <v>399</v>
      </c>
      <c r="E197" cm="1">
        <f t="array" ref="E197">_xlfn.SWITCH(D197,"QPSK",0.1,"16QAM",0.25,"64QAM",0.5,"256QAM",0.8,"1024QAM",1,"")</f>
        <v>0.1</v>
      </c>
      <c r="F197" cm="1">
        <f t="array" ref="F197">_xlfn.SWITCH(D197,"QPSK",0.05,"16QAM",0.15,"64QAM",0.4,"256QAM",0.75,"1024QAM",1,"")</f>
        <v>0.05</v>
      </c>
      <c r="G197" t="s">
        <v>60</v>
      </c>
      <c r="H197">
        <v>1</v>
      </c>
      <c r="I197" t="s">
        <v>61</v>
      </c>
      <c r="J197">
        <v>2</v>
      </c>
      <c r="K197">
        <v>2</v>
      </c>
      <c r="L197" t="s">
        <v>62</v>
      </c>
      <c r="M197">
        <v>2</v>
      </c>
      <c r="N197">
        <v>0.47849999999999998</v>
      </c>
      <c r="O197">
        <v>0.4824</v>
      </c>
      <c r="P197">
        <v>5000</v>
      </c>
      <c r="Q197">
        <v>4997</v>
      </c>
      <c r="R197">
        <v>3</v>
      </c>
      <c r="S197">
        <v>1</v>
      </c>
      <c r="T197">
        <v>0</v>
      </c>
      <c r="W197">
        <v>4997</v>
      </c>
      <c r="X197">
        <v>0</v>
      </c>
      <c r="Y197">
        <v>0.06</v>
      </c>
      <c r="Z197">
        <v>0</v>
      </c>
      <c r="AB197">
        <v>60200000</v>
      </c>
      <c r="AC197">
        <v>60163880</v>
      </c>
      <c r="AD197">
        <v>60200000</v>
      </c>
      <c r="AE197">
        <v>60163880</v>
      </c>
      <c r="AG197">
        <v>100</v>
      </c>
      <c r="AH197">
        <v>99.94</v>
      </c>
      <c r="AI197">
        <v>1</v>
      </c>
      <c r="AJ197">
        <v>1.0005999999999999</v>
      </c>
      <c r="AK197">
        <v>0.48209999999999997</v>
      </c>
      <c r="AL197">
        <v>12.03</v>
      </c>
      <c r="AM197">
        <v>12033</v>
      </c>
      <c r="AN197">
        <v>1.2856000000000001</v>
      </c>
      <c r="AO197">
        <v>30</v>
      </c>
      <c r="AP197">
        <v>21.87</v>
      </c>
      <c r="AQ197">
        <v>0.72</v>
      </c>
      <c r="AR197">
        <v>-5.98</v>
      </c>
      <c r="AS197">
        <v>1.96</v>
      </c>
      <c r="AT197">
        <v>28.8</v>
      </c>
      <c r="AU197">
        <v>6666.69</v>
      </c>
      <c r="AV197">
        <v>35.81</v>
      </c>
      <c r="AW197">
        <v>19.61</v>
      </c>
      <c r="AX197">
        <v>11.48</v>
      </c>
      <c r="AY197">
        <v>10.989535999999999</v>
      </c>
      <c r="AZ197">
        <v>54.449829999999999</v>
      </c>
      <c r="BA197">
        <v>-19.607202000000001</v>
      </c>
      <c r="BB197">
        <v>-5.8818840000000003</v>
      </c>
      <c r="BC197">
        <v>19.607202000000001</v>
      </c>
      <c r="BD197">
        <v>28.692176</v>
      </c>
      <c r="BE197">
        <v>137.7681</v>
      </c>
      <c r="BF197">
        <v>-11.424162000000001</v>
      </c>
      <c r="BG197">
        <v>2.3732600000000001</v>
      </c>
      <c r="BH197">
        <v>11.424162000000001</v>
      </c>
    </row>
    <row r="198" spans="1:60" x14ac:dyDescent="0.25">
      <c r="A198" t="s">
        <v>449</v>
      </c>
      <c r="B198" t="s">
        <v>450</v>
      </c>
      <c r="C198">
        <v>22</v>
      </c>
      <c r="D198" t="s">
        <v>399</v>
      </c>
      <c r="E198" cm="1">
        <f t="array" ref="E198">_xlfn.SWITCH(D198,"QPSK",0.1,"16QAM",0.25,"64QAM",0.5,"256QAM",0.8,"1024QAM",1,"")</f>
        <v>0.1</v>
      </c>
      <c r="F198" cm="1">
        <f t="array" ref="F198">_xlfn.SWITCH(D198,"QPSK",0.05,"16QAM",0.15,"64QAM",0.4,"256QAM",0.75,"1024QAM",1,"")</f>
        <v>0.05</v>
      </c>
      <c r="G198" t="s">
        <v>60</v>
      </c>
      <c r="H198">
        <v>4</v>
      </c>
      <c r="I198" t="s">
        <v>61</v>
      </c>
      <c r="J198">
        <v>2</v>
      </c>
      <c r="K198">
        <v>2</v>
      </c>
      <c r="L198" t="s">
        <v>62</v>
      </c>
      <c r="M198">
        <v>2</v>
      </c>
      <c r="N198">
        <v>0.47849999999999998</v>
      </c>
      <c r="O198">
        <v>0.4824</v>
      </c>
      <c r="P198">
        <v>5000</v>
      </c>
      <c r="Q198">
        <v>4996</v>
      </c>
      <c r="R198">
        <v>4</v>
      </c>
      <c r="S198">
        <v>1</v>
      </c>
      <c r="T198">
        <v>0</v>
      </c>
      <c r="W198">
        <v>4996</v>
      </c>
      <c r="X198">
        <v>0</v>
      </c>
      <c r="Y198">
        <v>0.08</v>
      </c>
      <c r="Z198">
        <v>0</v>
      </c>
      <c r="AB198">
        <v>60200000</v>
      </c>
      <c r="AC198">
        <v>60151840</v>
      </c>
      <c r="AD198">
        <v>60200000</v>
      </c>
      <c r="AE198">
        <v>60151840</v>
      </c>
      <c r="AG198">
        <v>100</v>
      </c>
      <c r="AH198">
        <v>99.92</v>
      </c>
      <c r="AI198">
        <v>1</v>
      </c>
      <c r="AJ198">
        <v>1.0008010000000001</v>
      </c>
      <c r="AK198">
        <v>0.48199999999999998</v>
      </c>
      <c r="AL198">
        <v>12.03</v>
      </c>
      <c r="AM198">
        <v>12030</v>
      </c>
      <c r="AN198">
        <v>1.2853000000000001</v>
      </c>
      <c r="AO198">
        <v>30</v>
      </c>
      <c r="AP198">
        <v>21.87</v>
      </c>
      <c r="AQ198">
        <v>0.72</v>
      </c>
      <c r="AR198">
        <v>-5.98</v>
      </c>
      <c r="AS198">
        <v>1.96</v>
      </c>
      <c r="AT198">
        <v>28.67</v>
      </c>
      <c r="AU198">
        <v>6666.69</v>
      </c>
      <c r="AV198">
        <v>35.81</v>
      </c>
      <c r="AW198">
        <v>19.62</v>
      </c>
      <c r="AX198">
        <v>11.49</v>
      </c>
      <c r="AY198">
        <v>10.974334000000001</v>
      </c>
      <c r="AZ198">
        <v>54.498466000000001</v>
      </c>
      <c r="BA198">
        <v>-19.618210000000001</v>
      </c>
      <c r="BB198">
        <v>-5.8705959999999999</v>
      </c>
      <c r="BC198">
        <v>19.618210000000001</v>
      </c>
      <c r="BD198">
        <v>28.677779999999998</v>
      </c>
      <c r="BE198">
        <v>137.92929799999999</v>
      </c>
      <c r="BF198">
        <v>-11.4284</v>
      </c>
      <c r="BG198">
        <v>2.382012</v>
      </c>
      <c r="BH198">
        <v>11.4284</v>
      </c>
    </row>
    <row r="199" spans="1:60" x14ac:dyDescent="0.25">
      <c r="A199" t="s">
        <v>451</v>
      </c>
      <c r="B199" t="s">
        <v>452</v>
      </c>
      <c r="C199">
        <v>22</v>
      </c>
      <c r="D199" t="s">
        <v>399</v>
      </c>
      <c r="E199" cm="1">
        <f t="array" ref="E199">_xlfn.SWITCH(D199,"QPSK",0.1,"16QAM",0.25,"64QAM",0.5,"256QAM",0.8,"1024QAM",1,"")</f>
        <v>0.1</v>
      </c>
      <c r="F199" cm="1">
        <f t="array" ref="F199">_xlfn.SWITCH(D199,"QPSK",0.05,"16QAM",0.15,"64QAM",0.4,"256QAM",0.75,"1024QAM",1,"")</f>
        <v>0.05</v>
      </c>
      <c r="G199" t="s">
        <v>60</v>
      </c>
      <c r="H199">
        <v>8</v>
      </c>
      <c r="I199" t="s">
        <v>61</v>
      </c>
      <c r="J199">
        <v>2</v>
      </c>
      <c r="K199">
        <v>2</v>
      </c>
      <c r="L199" t="s">
        <v>62</v>
      </c>
      <c r="M199">
        <v>2</v>
      </c>
      <c r="N199">
        <v>0.47849999999999998</v>
      </c>
      <c r="O199">
        <v>0.4824</v>
      </c>
      <c r="P199">
        <v>5000</v>
      </c>
      <c r="Q199">
        <v>4994</v>
      </c>
      <c r="R199">
        <v>6</v>
      </c>
      <c r="S199">
        <v>1</v>
      </c>
      <c r="T199">
        <v>0</v>
      </c>
      <c r="W199">
        <v>4994</v>
      </c>
      <c r="X199">
        <v>0</v>
      </c>
      <c r="Y199">
        <v>0.12</v>
      </c>
      <c r="Z199">
        <v>0</v>
      </c>
      <c r="AB199">
        <v>60200000</v>
      </c>
      <c r="AC199">
        <v>60127760</v>
      </c>
      <c r="AD199">
        <v>60200000</v>
      </c>
      <c r="AE199">
        <v>60127760</v>
      </c>
      <c r="AG199">
        <v>100</v>
      </c>
      <c r="AH199">
        <v>99.88</v>
      </c>
      <c r="AI199">
        <v>1</v>
      </c>
      <c r="AJ199">
        <v>1.001201</v>
      </c>
      <c r="AK199">
        <v>0.48180000000000001</v>
      </c>
      <c r="AL199">
        <v>12.03</v>
      </c>
      <c r="AM199">
        <v>12026</v>
      </c>
      <c r="AN199">
        <v>1.2847999999999999</v>
      </c>
      <c r="AO199">
        <v>30</v>
      </c>
      <c r="AP199">
        <v>21.87</v>
      </c>
      <c r="AQ199">
        <v>0.72</v>
      </c>
      <c r="AR199">
        <v>-5.98</v>
      </c>
      <c r="AS199">
        <v>1.96</v>
      </c>
      <c r="AT199">
        <v>28.36</v>
      </c>
      <c r="AU199">
        <v>6666.69</v>
      </c>
      <c r="AV199">
        <v>35.81</v>
      </c>
      <c r="AW199">
        <v>19.61</v>
      </c>
      <c r="AX199">
        <v>11.49</v>
      </c>
      <c r="AY199">
        <v>10.984472</v>
      </c>
      <c r="AZ199">
        <v>54.539777999999998</v>
      </c>
      <c r="BA199">
        <v>-19.610834000000001</v>
      </c>
      <c r="BB199">
        <v>-5.8663740000000004</v>
      </c>
      <c r="BC199">
        <v>19.610834000000001</v>
      </c>
      <c r="BD199">
        <v>28.683146000000001</v>
      </c>
      <c r="BE199">
        <v>137.80407600000001</v>
      </c>
      <c r="BF199">
        <v>-11.425981999999999</v>
      </c>
      <c r="BG199">
        <v>2.3740559999999999</v>
      </c>
      <c r="BH199">
        <v>11.425981999999999</v>
      </c>
    </row>
    <row r="200" spans="1:60" x14ac:dyDescent="0.25">
      <c r="A200" t="s">
        <v>453</v>
      </c>
      <c r="B200" t="s">
        <v>153</v>
      </c>
      <c r="C200">
        <v>24</v>
      </c>
      <c r="D200" t="s">
        <v>399</v>
      </c>
      <c r="E200" cm="1">
        <f t="array" ref="E200">_xlfn.SWITCH(D200,"QPSK",0.1,"16QAM",0.25,"64QAM",0.5,"256QAM",0.8,"1024QAM",1,"")</f>
        <v>0.1</v>
      </c>
      <c r="F200" cm="1">
        <f t="array" ref="F200">_xlfn.SWITCH(D200,"QPSK",0.05,"16QAM",0.15,"64QAM",0.4,"256QAM",0.75,"1024QAM",1,"")</f>
        <v>0.05</v>
      </c>
      <c r="G200" t="s">
        <v>60</v>
      </c>
      <c r="H200">
        <v>1</v>
      </c>
      <c r="I200" t="s">
        <v>61</v>
      </c>
      <c r="J200">
        <v>2</v>
      </c>
      <c r="K200">
        <v>2</v>
      </c>
      <c r="L200" t="s">
        <v>62</v>
      </c>
      <c r="M200">
        <v>2</v>
      </c>
      <c r="N200">
        <v>0.47849999999999998</v>
      </c>
      <c r="O200">
        <v>0.4824</v>
      </c>
      <c r="P200">
        <v>5000</v>
      </c>
      <c r="Q200">
        <v>4999</v>
      </c>
      <c r="R200">
        <v>1</v>
      </c>
      <c r="S200">
        <v>1</v>
      </c>
      <c r="T200">
        <v>0</v>
      </c>
      <c r="W200">
        <v>4999</v>
      </c>
      <c r="X200">
        <v>0</v>
      </c>
      <c r="Y200">
        <v>0.02</v>
      </c>
      <c r="Z200">
        <v>0</v>
      </c>
      <c r="AB200">
        <v>60200000</v>
      </c>
      <c r="AC200">
        <v>60187960</v>
      </c>
      <c r="AD200">
        <v>60200000</v>
      </c>
      <c r="AE200">
        <v>60187960</v>
      </c>
      <c r="AG200">
        <v>100</v>
      </c>
      <c r="AH200">
        <v>99.98</v>
      </c>
      <c r="AI200">
        <v>1</v>
      </c>
      <c r="AJ200">
        <v>1.0002</v>
      </c>
      <c r="AK200">
        <v>0.48230000000000001</v>
      </c>
      <c r="AL200">
        <v>12.04</v>
      </c>
      <c r="AM200">
        <v>12038</v>
      </c>
      <c r="AN200">
        <v>1.2861</v>
      </c>
      <c r="AO200">
        <v>30</v>
      </c>
      <c r="AP200">
        <v>21.87</v>
      </c>
      <c r="AQ200">
        <v>0.72</v>
      </c>
      <c r="AR200">
        <v>-5.99</v>
      </c>
      <c r="AS200">
        <v>1.96</v>
      </c>
      <c r="AT200">
        <v>32.229999999999997</v>
      </c>
      <c r="AU200">
        <v>6666.69</v>
      </c>
      <c r="AV200">
        <v>35.81</v>
      </c>
      <c r="AW200">
        <v>21.07</v>
      </c>
      <c r="AX200">
        <v>12.7</v>
      </c>
      <c r="AY200">
        <v>9.3087579999999992</v>
      </c>
      <c r="AZ200">
        <v>48.834536</v>
      </c>
      <c r="BA200">
        <v>-21.067536</v>
      </c>
      <c r="BB200">
        <v>-6.9154080000000002</v>
      </c>
      <c r="BC200">
        <v>21.067536</v>
      </c>
      <c r="BD200">
        <v>24.999502</v>
      </c>
      <c r="BE200">
        <v>129.46478200000001</v>
      </c>
      <c r="BF200">
        <v>-12.662812000000001</v>
      </c>
      <c r="BG200">
        <v>1.7422880000000001</v>
      </c>
      <c r="BH200">
        <v>12.662812000000001</v>
      </c>
    </row>
    <row r="201" spans="1:60" x14ac:dyDescent="0.25">
      <c r="A201" t="s">
        <v>454</v>
      </c>
      <c r="B201" t="s">
        <v>455</v>
      </c>
      <c r="C201">
        <v>24</v>
      </c>
      <c r="D201" t="s">
        <v>399</v>
      </c>
      <c r="E201" cm="1">
        <f t="array" ref="E201">_xlfn.SWITCH(D201,"QPSK",0.1,"16QAM",0.25,"64QAM",0.5,"256QAM",0.8,"1024QAM",1,"")</f>
        <v>0.1</v>
      </c>
      <c r="F201" cm="1">
        <f t="array" ref="F201">_xlfn.SWITCH(D201,"QPSK",0.05,"16QAM",0.15,"64QAM",0.4,"256QAM",0.75,"1024QAM",1,"")</f>
        <v>0.05</v>
      </c>
      <c r="G201" t="s">
        <v>60</v>
      </c>
      <c r="H201">
        <v>4</v>
      </c>
      <c r="I201" t="s">
        <v>61</v>
      </c>
      <c r="J201">
        <v>2</v>
      </c>
      <c r="K201">
        <v>2</v>
      </c>
      <c r="L201" t="s">
        <v>62</v>
      </c>
      <c r="M201">
        <v>2</v>
      </c>
      <c r="N201">
        <v>0.47849999999999998</v>
      </c>
      <c r="O201">
        <v>0.4824</v>
      </c>
      <c r="P201">
        <v>5000</v>
      </c>
      <c r="Q201">
        <v>4997</v>
      </c>
      <c r="R201">
        <v>3</v>
      </c>
      <c r="S201">
        <v>1</v>
      </c>
      <c r="T201">
        <v>0</v>
      </c>
      <c r="W201">
        <v>4997</v>
      </c>
      <c r="X201">
        <v>0</v>
      </c>
      <c r="Y201">
        <v>0.06</v>
      </c>
      <c r="Z201">
        <v>0</v>
      </c>
      <c r="AB201">
        <v>60200000</v>
      </c>
      <c r="AC201">
        <v>60163880</v>
      </c>
      <c r="AD201">
        <v>60200000</v>
      </c>
      <c r="AE201">
        <v>60163880</v>
      </c>
      <c r="AG201">
        <v>100</v>
      </c>
      <c r="AH201">
        <v>99.94</v>
      </c>
      <c r="AI201">
        <v>1</v>
      </c>
      <c r="AJ201">
        <v>1.0005999999999999</v>
      </c>
      <c r="AK201">
        <v>0.48209999999999997</v>
      </c>
      <c r="AL201">
        <v>12.03</v>
      </c>
      <c r="AM201">
        <v>12033</v>
      </c>
      <c r="AN201">
        <v>1.2856000000000001</v>
      </c>
      <c r="AO201">
        <v>30</v>
      </c>
      <c r="AP201">
        <v>21.87</v>
      </c>
      <c r="AQ201">
        <v>0.72</v>
      </c>
      <c r="AR201">
        <v>-5.99</v>
      </c>
      <c r="AS201">
        <v>1.96</v>
      </c>
      <c r="AT201">
        <v>32.08</v>
      </c>
      <c r="AU201">
        <v>6666.69</v>
      </c>
      <c r="AV201">
        <v>35.81</v>
      </c>
      <c r="AW201">
        <v>21.07</v>
      </c>
      <c r="AX201">
        <v>12.69</v>
      </c>
      <c r="AY201">
        <v>9.3049800000000005</v>
      </c>
      <c r="AZ201">
        <v>48.673591999999999</v>
      </c>
      <c r="BA201">
        <v>-21.070408</v>
      </c>
      <c r="BB201">
        <v>-6.9417999999999997</v>
      </c>
      <c r="BC201">
        <v>21.070408</v>
      </c>
      <c r="BD201">
        <v>25.014154000000001</v>
      </c>
      <c r="BE201">
        <v>129.68829400000001</v>
      </c>
      <c r="BF201">
        <v>-12.65884</v>
      </c>
      <c r="BG201">
        <v>1.765026</v>
      </c>
      <c r="BH201">
        <v>12.65884</v>
      </c>
    </row>
    <row r="202" spans="1:60" x14ac:dyDescent="0.25">
      <c r="A202" t="s">
        <v>456</v>
      </c>
      <c r="B202" t="s">
        <v>457</v>
      </c>
      <c r="C202">
        <v>24</v>
      </c>
      <c r="D202" t="s">
        <v>399</v>
      </c>
      <c r="E202" cm="1">
        <f t="array" ref="E202">_xlfn.SWITCH(D202,"QPSK",0.1,"16QAM",0.25,"64QAM",0.5,"256QAM",0.8,"1024QAM",1,"")</f>
        <v>0.1</v>
      </c>
      <c r="F202" cm="1">
        <f t="array" ref="F202">_xlfn.SWITCH(D202,"QPSK",0.05,"16QAM",0.15,"64QAM",0.4,"256QAM",0.75,"1024QAM",1,"")</f>
        <v>0.05</v>
      </c>
      <c r="G202" t="s">
        <v>60</v>
      </c>
      <c r="H202">
        <v>8</v>
      </c>
      <c r="I202" t="s">
        <v>61</v>
      </c>
      <c r="J202">
        <v>2</v>
      </c>
      <c r="K202">
        <v>2</v>
      </c>
      <c r="L202" t="s">
        <v>62</v>
      </c>
      <c r="M202">
        <v>2</v>
      </c>
      <c r="N202">
        <v>0.47849999999999998</v>
      </c>
      <c r="O202">
        <v>0.4824</v>
      </c>
      <c r="P202">
        <v>5000</v>
      </c>
      <c r="Q202">
        <v>4997</v>
      </c>
      <c r="R202">
        <v>3</v>
      </c>
      <c r="S202">
        <v>1</v>
      </c>
      <c r="T202">
        <v>0</v>
      </c>
      <c r="W202">
        <v>4997</v>
      </c>
      <c r="X202">
        <v>0</v>
      </c>
      <c r="Y202">
        <v>0.06</v>
      </c>
      <c r="Z202">
        <v>0</v>
      </c>
      <c r="AB202">
        <v>60200000</v>
      </c>
      <c r="AC202">
        <v>60163880</v>
      </c>
      <c r="AD202">
        <v>60200000</v>
      </c>
      <c r="AE202">
        <v>60163880</v>
      </c>
      <c r="AG202">
        <v>100</v>
      </c>
      <c r="AH202">
        <v>99.94</v>
      </c>
      <c r="AI202">
        <v>1</v>
      </c>
      <c r="AJ202">
        <v>1.0005999999999999</v>
      </c>
      <c r="AK202">
        <v>0.48209999999999997</v>
      </c>
      <c r="AL202">
        <v>12.03</v>
      </c>
      <c r="AM202">
        <v>12033</v>
      </c>
      <c r="AN202">
        <v>1.2856000000000001</v>
      </c>
      <c r="AO202">
        <v>30</v>
      </c>
      <c r="AP202">
        <v>21.87</v>
      </c>
      <c r="AQ202">
        <v>0.72</v>
      </c>
      <c r="AR202">
        <v>-5.99</v>
      </c>
      <c r="AS202">
        <v>1.96</v>
      </c>
      <c r="AT202">
        <v>32.47</v>
      </c>
      <c r="AU202">
        <v>6666.69</v>
      </c>
      <c r="AV202">
        <v>35.81</v>
      </c>
      <c r="AW202">
        <v>21.07</v>
      </c>
      <c r="AX202">
        <v>12.7</v>
      </c>
      <c r="AY202">
        <v>9.3032920000000008</v>
      </c>
      <c r="AZ202">
        <v>48.392603999999999</v>
      </c>
      <c r="BA202">
        <v>-21.072990000000001</v>
      </c>
      <c r="BB202">
        <v>-6.992356</v>
      </c>
      <c r="BC202">
        <v>21.072990000000001</v>
      </c>
      <c r="BD202">
        <v>24.995058</v>
      </c>
      <c r="BE202">
        <v>129.34281999999999</v>
      </c>
      <c r="BF202">
        <v>-12.66358</v>
      </c>
      <c r="BG202">
        <v>1.7375620000000001</v>
      </c>
      <c r="BH202">
        <v>12.66358</v>
      </c>
    </row>
    <row r="203" spans="1:60" x14ac:dyDescent="0.25">
      <c r="A203" t="s">
        <v>458</v>
      </c>
      <c r="B203" t="s">
        <v>459</v>
      </c>
      <c r="C203">
        <v>4</v>
      </c>
      <c r="D203" t="s">
        <v>399</v>
      </c>
      <c r="E203" cm="1">
        <f t="array" ref="E203">_xlfn.SWITCH(D203,"QPSK",0.1,"16QAM",0.25,"64QAM",0.5,"256QAM",0.8,"1024QAM",1,"")</f>
        <v>0.1</v>
      </c>
      <c r="F203" cm="1">
        <f t="array" ref="F203">_xlfn.SWITCH(D203,"QPSK",0.05,"16QAM",0.15,"64QAM",0.4,"256QAM",0.75,"1024QAM",1,"")</f>
        <v>0.05</v>
      </c>
      <c r="G203" t="s">
        <v>60</v>
      </c>
      <c r="H203">
        <v>1</v>
      </c>
      <c r="I203" t="s">
        <v>61</v>
      </c>
      <c r="J203">
        <v>2</v>
      </c>
      <c r="K203">
        <v>2</v>
      </c>
      <c r="L203" t="s">
        <v>62</v>
      </c>
      <c r="M203">
        <v>2</v>
      </c>
      <c r="N203">
        <v>0.47849999999999998</v>
      </c>
      <c r="O203">
        <v>0.4824</v>
      </c>
      <c r="P203">
        <v>5000</v>
      </c>
      <c r="Q203">
        <v>3139</v>
      </c>
      <c r="R203">
        <v>1861</v>
      </c>
      <c r="S203">
        <v>1.59</v>
      </c>
      <c r="T203">
        <v>0.59</v>
      </c>
      <c r="W203">
        <v>3139</v>
      </c>
      <c r="X203">
        <v>0</v>
      </c>
      <c r="Y203">
        <v>37.22</v>
      </c>
      <c r="Z203">
        <v>0</v>
      </c>
      <c r="AB203">
        <v>60200000</v>
      </c>
      <c r="AC203">
        <v>37793560</v>
      </c>
      <c r="AD203">
        <v>60200000</v>
      </c>
      <c r="AE203">
        <v>37793560</v>
      </c>
      <c r="AG203">
        <v>100</v>
      </c>
      <c r="AH203">
        <v>62.78</v>
      </c>
      <c r="AI203">
        <v>1</v>
      </c>
      <c r="AJ203">
        <v>1.5928640000000001</v>
      </c>
      <c r="AK203">
        <v>0.30280000000000001</v>
      </c>
      <c r="AL203">
        <v>7.56</v>
      </c>
      <c r="AM203">
        <v>7559</v>
      </c>
      <c r="AN203">
        <v>0.80759999999999998</v>
      </c>
      <c r="AO203">
        <v>30</v>
      </c>
      <c r="AP203">
        <v>21.87</v>
      </c>
      <c r="AQ203">
        <v>0.72</v>
      </c>
      <c r="AR203">
        <v>-5.89</v>
      </c>
      <c r="AS203">
        <v>1.92</v>
      </c>
      <c r="AT203">
        <v>16.27</v>
      </c>
      <c r="AU203">
        <v>6666.69</v>
      </c>
      <c r="AV203">
        <v>35.81</v>
      </c>
      <c r="AW203">
        <v>7.2</v>
      </c>
      <c r="AX203">
        <v>3.89</v>
      </c>
      <c r="AY203">
        <v>45.284137999999999</v>
      </c>
      <c r="AZ203">
        <v>129.932444</v>
      </c>
      <c r="BA203">
        <v>-6.9845300000000003</v>
      </c>
      <c r="BB203">
        <v>2.1421860000000001</v>
      </c>
      <c r="BC203">
        <v>6.9845300000000003</v>
      </c>
      <c r="BD203">
        <v>62.95149</v>
      </c>
      <c r="BE203">
        <v>220.982462</v>
      </c>
      <c r="BF203">
        <v>-4.0457960000000002</v>
      </c>
      <c r="BG203">
        <v>6.6935900000000004</v>
      </c>
      <c r="BH203">
        <v>4.0457960000000002</v>
      </c>
    </row>
    <row r="204" spans="1:60" x14ac:dyDescent="0.25">
      <c r="A204" t="s">
        <v>460</v>
      </c>
      <c r="B204" t="s">
        <v>461</v>
      </c>
      <c r="C204">
        <v>4</v>
      </c>
      <c r="D204" t="s">
        <v>399</v>
      </c>
      <c r="E204" cm="1">
        <f t="array" ref="E204">_xlfn.SWITCH(D204,"QPSK",0.1,"16QAM",0.25,"64QAM",0.5,"256QAM",0.8,"1024QAM",1,"")</f>
        <v>0.1</v>
      </c>
      <c r="F204" cm="1">
        <f t="array" ref="F204">_xlfn.SWITCH(D204,"QPSK",0.05,"16QAM",0.15,"64QAM",0.4,"256QAM",0.75,"1024QAM",1,"")</f>
        <v>0.05</v>
      </c>
      <c r="G204" t="s">
        <v>60</v>
      </c>
      <c r="H204">
        <v>4</v>
      </c>
      <c r="I204" t="s">
        <v>61</v>
      </c>
      <c r="J204">
        <v>2</v>
      </c>
      <c r="K204">
        <v>2</v>
      </c>
      <c r="L204" t="s">
        <v>62</v>
      </c>
      <c r="M204">
        <v>2</v>
      </c>
      <c r="N204">
        <v>0.47849999999999998</v>
      </c>
      <c r="O204">
        <v>0.4824</v>
      </c>
      <c r="P204">
        <v>5000</v>
      </c>
      <c r="Q204">
        <v>3128</v>
      </c>
      <c r="R204">
        <v>1872</v>
      </c>
      <c r="S204">
        <v>1.6</v>
      </c>
      <c r="T204">
        <v>0.6</v>
      </c>
      <c r="W204">
        <v>3128</v>
      </c>
      <c r="X204">
        <v>0</v>
      </c>
      <c r="Y204">
        <v>37.44</v>
      </c>
      <c r="Z204">
        <v>0</v>
      </c>
      <c r="AB204">
        <v>60200000</v>
      </c>
      <c r="AC204">
        <v>37661120</v>
      </c>
      <c r="AD204">
        <v>60200000</v>
      </c>
      <c r="AE204">
        <v>37661120</v>
      </c>
      <c r="AG204">
        <v>100</v>
      </c>
      <c r="AH204">
        <v>62.56</v>
      </c>
      <c r="AI204">
        <v>1</v>
      </c>
      <c r="AJ204">
        <v>1.598465</v>
      </c>
      <c r="AK204">
        <v>0.30180000000000001</v>
      </c>
      <c r="AL204">
        <v>7.53</v>
      </c>
      <c r="AM204">
        <v>7532</v>
      </c>
      <c r="AN204">
        <v>0.80469999999999997</v>
      </c>
      <c r="AO204">
        <v>30</v>
      </c>
      <c r="AP204">
        <v>21.87</v>
      </c>
      <c r="AQ204">
        <v>0.72</v>
      </c>
      <c r="AR204">
        <v>-5.89</v>
      </c>
      <c r="AS204">
        <v>1.92</v>
      </c>
      <c r="AT204">
        <v>16.079999999999998</v>
      </c>
      <c r="AU204">
        <v>6666.69</v>
      </c>
      <c r="AV204">
        <v>35.81</v>
      </c>
      <c r="AW204">
        <v>7.2</v>
      </c>
      <c r="AX204">
        <v>3.89</v>
      </c>
      <c r="AY204">
        <v>45.283422000000002</v>
      </c>
      <c r="AZ204">
        <v>130.094966</v>
      </c>
      <c r="BA204">
        <v>-6.9849019999999999</v>
      </c>
      <c r="BB204">
        <v>2.1521180000000002</v>
      </c>
      <c r="BC204">
        <v>6.9849019999999999</v>
      </c>
      <c r="BD204">
        <v>62.987268</v>
      </c>
      <c r="BE204">
        <v>221.44123999999999</v>
      </c>
      <c r="BF204">
        <v>-4.0410259999999996</v>
      </c>
      <c r="BG204">
        <v>6.7050619999999999</v>
      </c>
      <c r="BH204">
        <v>4.0410259999999996</v>
      </c>
    </row>
    <row r="205" spans="1:60" x14ac:dyDescent="0.25">
      <c r="A205" t="s">
        <v>462</v>
      </c>
      <c r="B205" t="s">
        <v>463</v>
      </c>
      <c r="C205">
        <v>4</v>
      </c>
      <c r="D205" t="s">
        <v>399</v>
      </c>
      <c r="E205" cm="1">
        <f t="array" ref="E205">_xlfn.SWITCH(D205,"QPSK",0.1,"16QAM",0.25,"64QAM",0.5,"256QAM",0.8,"1024QAM",1,"")</f>
        <v>0.1</v>
      </c>
      <c r="F205" cm="1">
        <f t="array" ref="F205">_xlfn.SWITCH(D205,"QPSK",0.05,"16QAM",0.15,"64QAM",0.4,"256QAM",0.75,"1024QAM",1,"")</f>
        <v>0.05</v>
      </c>
      <c r="G205" t="s">
        <v>60</v>
      </c>
      <c r="H205">
        <v>8</v>
      </c>
      <c r="I205" t="s">
        <v>61</v>
      </c>
      <c r="J205">
        <v>2</v>
      </c>
      <c r="K205">
        <v>2</v>
      </c>
      <c r="L205" t="s">
        <v>62</v>
      </c>
      <c r="M205">
        <v>2</v>
      </c>
      <c r="N205">
        <v>0.47849999999999998</v>
      </c>
      <c r="O205">
        <v>0.4824</v>
      </c>
      <c r="P205">
        <v>5000</v>
      </c>
      <c r="Q205">
        <v>3112</v>
      </c>
      <c r="R205">
        <v>1888</v>
      </c>
      <c r="S205">
        <v>1.61</v>
      </c>
      <c r="T205">
        <v>0.61</v>
      </c>
      <c r="W205">
        <v>3112</v>
      </c>
      <c r="X205">
        <v>0</v>
      </c>
      <c r="Y205">
        <v>37.76</v>
      </c>
      <c r="Z205">
        <v>0</v>
      </c>
      <c r="AB205">
        <v>60200000</v>
      </c>
      <c r="AC205">
        <v>37468480</v>
      </c>
      <c r="AD205">
        <v>60200000</v>
      </c>
      <c r="AE205">
        <v>37468480</v>
      </c>
      <c r="AG205">
        <v>100</v>
      </c>
      <c r="AH205">
        <v>62.24</v>
      </c>
      <c r="AI205">
        <v>1</v>
      </c>
      <c r="AJ205">
        <v>1.606684</v>
      </c>
      <c r="AK205">
        <v>0.30020000000000002</v>
      </c>
      <c r="AL205">
        <v>7.49</v>
      </c>
      <c r="AM205">
        <v>7494</v>
      </c>
      <c r="AN205">
        <v>0.80059999999999998</v>
      </c>
      <c r="AO205">
        <v>30</v>
      </c>
      <c r="AP205">
        <v>21.87</v>
      </c>
      <c r="AQ205">
        <v>0.72</v>
      </c>
      <c r="AR205">
        <v>-5.89</v>
      </c>
      <c r="AS205">
        <v>1.92</v>
      </c>
      <c r="AT205">
        <v>16.010000000000002</v>
      </c>
      <c r="AU205">
        <v>6666.69</v>
      </c>
      <c r="AV205">
        <v>35.81</v>
      </c>
      <c r="AW205">
        <v>7.19</v>
      </c>
      <c r="AX205">
        <v>3.89</v>
      </c>
      <c r="AY205">
        <v>45.2849</v>
      </c>
      <c r="AZ205">
        <v>130.14379400000001</v>
      </c>
      <c r="BA205">
        <v>-6.9842399999999998</v>
      </c>
      <c r="BB205">
        <v>2.1548880000000001</v>
      </c>
      <c r="BC205">
        <v>6.9842399999999998</v>
      </c>
      <c r="BD205">
        <v>62.965940000000003</v>
      </c>
      <c r="BE205">
        <v>220.6377</v>
      </c>
      <c r="BF205">
        <v>-4.0437139999999996</v>
      </c>
      <c r="BG205">
        <v>6.6754680000000004</v>
      </c>
      <c r="BH205">
        <v>4.0437139999999996</v>
      </c>
    </row>
    <row r="206" spans="1:60" x14ac:dyDescent="0.25">
      <c r="A206" t="s">
        <v>464</v>
      </c>
      <c r="B206" t="s">
        <v>153</v>
      </c>
      <c r="C206">
        <v>6</v>
      </c>
      <c r="D206" t="s">
        <v>399</v>
      </c>
      <c r="E206" cm="1">
        <f t="array" ref="E206">_xlfn.SWITCH(D206,"QPSK",0.1,"16QAM",0.25,"64QAM",0.5,"256QAM",0.8,"1024QAM",1,"")</f>
        <v>0.1</v>
      </c>
      <c r="F206" cm="1">
        <f t="array" ref="F206">_xlfn.SWITCH(D206,"QPSK",0.05,"16QAM",0.15,"64QAM",0.4,"256QAM",0.75,"1024QAM",1,"")</f>
        <v>0.05</v>
      </c>
      <c r="G206" t="s">
        <v>60</v>
      </c>
      <c r="H206">
        <v>1</v>
      </c>
      <c r="I206" t="s">
        <v>61</v>
      </c>
      <c r="J206">
        <v>2</v>
      </c>
      <c r="K206">
        <v>2</v>
      </c>
      <c r="L206" t="s">
        <v>62</v>
      </c>
      <c r="M206">
        <v>2</v>
      </c>
      <c r="N206">
        <v>0.47849999999999998</v>
      </c>
      <c r="O206">
        <v>0.4824</v>
      </c>
      <c r="P206">
        <v>5000</v>
      </c>
      <c r="Q206">
        <v>3811</v>
      </c>
      <c r="R206">
        <v>1189</v>
      </c>
      <c r="S206">
        <v>1.31</v>
      </c>
      <c r="T206">
        <v>0.31</v>
      </c>
      <c r="W206">
        <v>3811</v>
      </c>
      <c r="X206">
        <v>0</v>
      </c>
      <c r="Y206">
        <v>23.78</v>
      </c>
      <c r="Z206">
        <v>0</v>
      </c>
      <c r="AB206">
        <v>60200000</v>
      </c>
      <c r="AC206">
        <v>45884440</v>
      </c>
      <c r="AD206">
        <v>60200000</v>
      </c>
      <c r="AE206">
        <v>45884440</v>
      </c>
      <c r="AG206">
        <v>100</v>
      </c>
      <c r="AH206">
        <v>76.22</v>
      </c>
      <c r="AI206">
        <v>1</v>
      </c>
      <c r="AJ206">
        <v>1.311992</v>
      </c>
      <c r="AK206">
        <v>0.36770000000000003</v>
      </c>
      <c r="AL206">
        <v>9.18</v>
      </c>
      <c r="AM206">
        <v>9177</v>
      </c>
      <c r="AN206">
        <v>0.98040000000000005</v>
      </c>
      <c r="AO206">
        <v>30</v>
      </c>
      <c r="AP206">
        <v>21.87</v>
      </c>
      <c r="AQ206">
        <v>0.72</v>
      </c>
      <c r="AR206">
        <v>-5.93</v>
      </c>
      <c r="AS206">
        <v>1.95</v>
      </c>
      <c r="AT206">
        <v>19.29</v>
      </c>
      <c r="AU206">
        <v>6666.69</v>
      </c>
      <c r="AV206">
        <v>35.81</v>
      </c>
      <c r="AW206">
        <v>8.41</v>
      </c>
      <c r="AX206">
        <v>4.4000000000000004</v>
      </c>
      <c r="AY206">
        <v>39.385131999999999</v>
      </c>
      <c r="AZ206">
        <v>114.587796</v>
      </c>
      <c r="BA206">
        <v>-8.2423900000000003</v>
      </c>
      <c r="BB206">
        <v>1.03006</v>
      </c>
      <c r="BC206">
        <v>8.2423900000000003</v>
      </c>
      <c r="BD206">
        <v>60.677930000000003</v>
      </c>
      <c r="BE206">
        <v>202.77809600000001</v>
      </c>
      <c r="BF206">
        <v>-4.3816280000000001</v>
      </c>
      <c r="BG206">
        <v>5.9316300000000002</v>
      </c>
      <c r="BH206">
        <v>4.3816280000000001</v>
      </c>
    </row>
    <row r="207" spans="1:60" x14ac:dyDescent="0.25">
      <c r="A207" t="s">
        <v>465</v>
      </c>
      <c r="B207" t="s">
        <v>466</v>
      </c>
      <c r="C207">
        <v>6</v>
      </c>
      <c r="D207" t="s">
        <v>399</v>
      </c>
      <c r="E207" cm="1">
        <f t="array" ref="E207">_xlfn.SWITCH(D207,"QPSK",0.1,"16QAM",0.25,"64QAM",0.5,"256QAM",0.8,"1024QAM",1,"")</f>
        <v>0.1</v>
      </c>
      <c r="F207" cm="1">
        <f t="array" ref="F207">_xlfn.SWITCH(D207,"QPSK",0.05,"16QAM",0.15,"64QAM",0.4,"256QAM",0.75,"1024QAM",1,"")</f>
        <v>0.05</v>
      </c>
      <c r="G207" t="s">
        <v>60</v>
      </c>
      <c r="H207">
        <v>4</v>
      </c>
      <c r="I207" t="s">
        <v>61</v>
      </c>
      <c r="J207">
        <v>2</v>
      </c>
      <c r="K207">
        <v>2</v>
      </c>
      <c r="L207" t="s">
        <v>62</v>
      </c>
      <c r="M207">
        <v>2</v>
      </c>
      <c r="N207">
        <v>0.47849999999999998</v>
      </c>
      <c r="O207">
        <v>0.4824</v>
      </c>
      <c r="P207">
        <v>5000</v>
      </c>
      <c r="Q207">
        <v>3794</v>
      </c>
      <c r="R207">
        <v>1206</v>
      </c>
      <c r="S207">
        <v>1.32</v>
      </c>
      <c r="T207">
        <v>0.32</v>
      </c>
      <c r="W207">
        <v>3794</v>
      </c>
      <c r="X207">
        <v>0</v>
      </c>
      <c r="Y207">
        <v>24.12</v>
      </c>
      <c r="Z207">
        <v>0</v>
      </c>
      <c r="AB207">
        <v>60200000</v>
      </c>
      <c r="AC207">
        <v>45679760</v>
      </c>
      <c r="AD207">
        <v>60200000</v>
      </c>
      <c r="AE207">
        <v>45679760</v>
      </c>
      <c r="AG207">
        <v>100</v>
      </c>
      <c r="AH207">
        <v>75.88</v>
      </c>
      <c r="AI207">
        <v>1</v>
      </c>
      <c r="AJ207">
        <v>1.3178700000000001</v>
      </c>
      <c r="AK207">
        <v>0.36599999999999999</v>
      </c>
      <c r="AL207">
        <v>9.14</v>
      </c>
      <c r="AM207">
        <v>9136</v>
      </c>
      <c r="AN207">
        <v>0.97609999999999997</v>
      </c>
      <c r="AO207">
        <v>30</v>
      </c>
      <c r="AP207">
        <v>21.87</v>
      </c>
      <c r="AQ207">
        <v>0.72</v>
      </c>
      <c r="AR207">
        <v>-5.93</v>
      </c>
      <c r="AS207">
        <v>1.95</v>
      </c>
      <c r="AT207">
        <v>19.350000000000001</v>
      </c>
      <c r="AU207">
        <v>6666.69</v>
      </c>
      <c r="AV207">
        <v>35.81</v>
      </c>
      <c r="AW207">
        <v>8.41</v>
      </c>
      <c r="AX207">
        <v>4.4000000000000004</v>
      </c>
      <c r="AY207">
        <v>39.382876000000003</v>
      </c>
      <c r="AZ207">
        <v>114.511528</v>
      </c>
      <c r="BA207">
        <v>-8.24329</v>
      </c>
      <c r="BB207">
        <v>1.023836</v>
      </c>
      <c r="BC207">
        <v>8.24329</v>
      </c>
      <c r="BD207">
        <v>60.663027999999997</v>
      </c>
      <c r="BE207">
        <v>203.09483800000001</v>
      </c>
      <c r="BF207">
        <v>-4.3837820000000001</v>
      </c>
      <c r="BG207">
        <v>5.9428640000000001</v>
      </c>
      <c r="BH207">
        <v>4.3837820000000001</v>
      </c>
    </row>
    <row r="208" spans="1:60" x14ac:dyDescent="0.25">
      <c r="A208" t="s">
        <v>467</v>
      </c>
      <c r="B208" t="s">
        <v>299</v>
      </c>
      <c r="C208">
        <v>6</v>
      </c>
      <c r="D208" t="s">
        <v>399</v>
      </c>
      <c r="E208" cm="1">
        <f t="array" ref="E208">_xlfn.SWITCH(D208,"QPSK",0.1,"16QAM",0.25,"64QAM",0.5,"256QAM",0.8,"1024QAM",1,"")</f>
        <v>0.1</v>
      </c>
      <c r="F208" cm="1">
        <f t="array" ref="F208">_xlfn.SWITCH(D208,"QPSK",0.05,"16QAM",0.15,"64QAM",0.4,"256QAM",0.75,"1024QAM",1,"")</f>
        <v>0.05</v>
      </c>
      <c r="G208" t="s">
        <v>60</v>
      </c>
      <c r="H208">
        <v>8</v>
      </c>
      <c r="I208" t="s">
        <v>61</v>
      </c>
      <c r="J208">
        <v>2</v>
      </c>
      <c r="K208">
        <v>2</v>
      </c>
      <c r="L208" t="s">
        <v>62</v>
      </c>
      <c r="M208">
        <v>2</v>
      </c>
      <c r="N208">
        <v>0.47849999999999998</v>
      </c>
      <c r="O208">
        <v>0.4824</v>
      </c>
      <c r="P208">
        <v>5000</v>
      </c>
      <c r="Q208">
        <v>3781</v>
      </c>
      <c r="R208">
        <v>1219</v>
      </c>
      <c r="S208">
        <v>1.32</v>
      </c>
      <c r="T208">
        <v>0.32</v>
      </c>
      <c r="W208">
        <v>3781</v>
      </c>
      <c r="X208">
        <v>0</v>
      </c>
      <c r="Y208">
        <v>24.38</v>
      </c>
      <c r="Z208">
        <v>0</v>
      </c>
      <c r="AB208">
        <v>60200000</v>
      </c>
      <c r="AC208">
        <v>45523240</v>
      </c>
      <c r="AD208">
        <v>60200000</v>
      </c>
      <c r="AE208">
        <v>45523240</v>
      </c>
      <c r="AG208">
        <v>100</v>
      </c>
      <c r="AH208">
        <v>75.62</v>
      </c>
      <c r="AI208">
        <v>1</v>
      </c>
      <c r="AJ208">
        <v>1.3224009999999999</v>
      </c>
      <c r="AK208">
        <v>0.36480000000000001</v>
      </c>
      <c r="AL208">
        <v>9.1</v>
      </c>
      <c r="AM208">
        <v>9105</v>
      </c>
      <c r="AN208">
        <v>0.97270000000000001</v>
      </c>
      <c r="AO208">
        <v>30</v>
      </c>
      <c r="AP208">
        <v>21.87</v>
      </c>
      <c r="AQ208">
        <v>0.72</v>
      </c>
      <c r="AR208">
        <v>-5.93</v>
      </c>
      <c r="AS208">
        <v>1.95</v>
      </c>
      <c r="AT208">
        <v>19.23</v>
      </c>
      <c r="AU208">
        <v>6666.69</v>
      </c>
      <c r="AV208">
        <v>35.81</v>
      </c>
      <c r="AW208">
        <v>8.41</v>
      </c>
      <c r="AX208">
        <v>4.4000000000000004</v>
      </c>
      <c r="AY208">
        <v>39.392054000000002</v>
      </c>
      <c r="AZ208">
        <v>114.633976</v>
      </c>
      <c r="BA208">
        <v>-8.240558</v>
      </c>
      <c r="BB208">
        <v>1.0351379999999999</v>
      </c>
      <c r="BC208">
        <v>8.240558</v>
      </c>
      <c r="BD208">
        <v>60.682934000000003</v>
      </c>
      <c r="BE208">
        <v>203.31765799999999</v>
      </c>
      <c r="BF208">
        <v>-4.380808</v>
      </c>
      <c r="BG208">
        <v>5.9502119999999996</v>
      </c>
      <c r="BH208">
        <v>4.380808</v>
      </c>
    </row>
    <row r="209" spans="1:60" x14ac:dyDescent="0.25">
      <c r="A209" t="s">
        <v>468</v>
      </c>
      <c r="B209" t="s">
        <v>469</v>
      </c>
      <c r="C209">
        <v>8</v>
      </c>
      <c r="D209" t="s">
        <v>399</v>
      </c>
      <c r="E209" cm="1">
        <f t="array" ref="E209">_xlfn.SWITCH(D209,"QPSK",0.1,"16QAM",0.25,"64QAM",0.5,"256QAM",0.8,"1024QAM",1,"")</f>
        <v>0.1</v>
      </c>
      <c r="F209" cm="1">
        <f t="array" ref="F209">_xlfn.SWITCH(D209,"QPSK",0.05,"16QAM",0.15,"64QAM",0.4,"256QAM",0.75,"1024QAM",1,"")</f>
        <v>0.05</v>
      </c>
      <c r="G209" t="s">
        <v>60</v>
      </c>
      <c r="H209">
        <v>1</v>
      </c>
      <c r="I209" t="s">
        <v>61</v>
      </c>
      <c r="J209">
        <v>2</v>
      </c>
      <c r="K209">
        <v>2</v>
      </c>
      <c r="L209" t="s">
        <v>62</v>
      </c>
      <c r="M209">
        <v>2</v>
      </c>
      <c r="N209">
        <v>0.47849999999999998</v>
      </c>
      <c r="O209">
        <v>0.4824</v>
      </c>
      <c r="P209">
        <v>5000</v>
      </c>
      <c r="Q209">
        <v>4304</v>
      </c>
      <c r="R209">
        <v>696</v>
      </c>
      <c r="S209">
        <v>1.1599999999999999</v>
      </c>
      <c r="T209">
        <v>0.16</v>
      </c>
      <c r="W209">
        <v>4304</v>
      </c>
      <c r="X209">
        <v>0</v>
      </c>
      <c r="Y209">
        <v>13.92</v>
      </c>
      <c r="Z209">
        <v>0</v>
      </c>
      <c r="AB209">
        <v>60200000</v>
      </c>
      <c r="AC209">
        <v>51820160</v>
      </c>
      <c r="AD209">
        <v>60200000</v>
      </c>
      <c r="AE209">
        <v>51820160</v>
      </c>
      <c r="AG209">
        <v>100</v>
      </c>
      <c r="AH209">
        <v>86.08</v>
      </c>
      <c r="AI209">
        <v>1</v>
      </c>
      <c r="AJ209">
        <v>1.16171</v>
      </c>
      <c r="AK209">
        <v>0.41520000000000001</v>
      </c>
      <c r="AL209">
        <v>10.36</v>
      </c>
      <c r="AM209">
        <v>10364</v>
      </c>
      <c r="AN209">
        <v>1.1073</v>
      </c>
      <c r="AO209">
        <v>30</v>
      </c>
      <c r="AP209">
        <v>21.87</v>
      </c>
      <c r="AQ209">
        <v>0.72</v>
      </c>
      <c r="AR209">
        <v>-5.94</v>
      </c>
      <c r="AS209">
        <v>1.97</v>
      </c>
      <c r="AT209">
        <v>21.7</v>
      </c>
      <c r="AU209">
        <v>6666.69</v>
      </c>
      <c r="AV209">
        <v>35.81</v>
      </c>
      <c r="AW209">
        <v>9.7100000000000009</v>
      </c>
      <c r="AX209">
        <v>4.9400000000000004</v>
      </c>
      <c r="AY209">
        <v>33.886912000000002</v>
      </c>
      <c r="AZ209">
        <v>103.761574</v>
      </c>
      <c r="BA209">
        <v>-9.5875120000000003</v>
      </c>
      <c r="BB209">
        <v>0.11119999999999999</v>
      </c>
      <c r="BC209">
        <v>9.5875120000000003</v>
      </c>
      <c r="BD209">
        <v>57.85942</v>
      </c>
      <c r="BE209">
        <v>187.910346</v>
      </c>
      <c r="BF209">
        <v>-4.8149959999999998</v>
      </c>
      <c r="BG209">
        <v>5.2854599999999996</v>
      </c>
      <c r="BH209">
        <v>4.8149959999999998</v>
      </c>
    </row>
    <row r="210" spans="1:60" x14ac:dyDescent="0.25">
      <c r="A210" t="s">
        <v>470</v>
      </c>
      <c r="B210" t="s">
        <v>471</v>
      </c>
      <c r="C210">
        <v>8</v>
      </c>
      <c r="D210" t="s">
        <v>399</v>
      </c>
      <c r="E210" cm="1">
        <f t="array" ref="E210">_xlfn.SWITCH(D210,"QPSK",0.1,"16QAM",0.25,"64QAM",0.5,"256QAM",0.8,"1024QAM",1,"")</f>
        <v>0.1</v>
      </c>
      <c r="F210" cm="1">
        <f t="array" ref="F210">_xlfn.SWITCH(D210,"QPSK",0.05,"16QAM",0.15,"64QAM",0.4,"256QAM",0.75,"1024QAM",1,"")</f>
        <v>0.05</v>
      </c>
      <c r="G210" t="s">
        <v>60</v>
      </c>
      <c r="H210">
        <v>4</v>
      </c>
      <c r="I210" t="s">
        <v>61</v>
      </c>
      <c r="J210">
        <v>2</v>
      </c>
      <c r="K210">
        <v>2</v>
      </c>
      <c r="L210" t="s">
        <v>62</v>
      </c>
      <c r="M210">
        <v>2</v>
      </c>
      <c r="N210">
        <v>0.47849999999999998</v>
      </c>
      <c r="O210">
        <v>0.4824</v>
      </c>
      <c r="P210">
        <v>5000</v>
      </c>
      <c r="Q210">
        <v>4286</v>
      </c>
      <c r="R210">
        <v>714</v>
      </c>
      <c r="S210">
        <v>1.17</v>
      </c>
      <c r="T210">
        <v>0.17</v>
      </c>
      <c r="W210">
        <v>4286</v>
      </c>
      <c r="X210">
        <v>0</v>
      </c>
      <c r="Y210">
        <v>14.28</v>
      </c>
      <c r="Z210">
        <v>0</v>
      </c>
      <c r="AB210">
        <v>60200000</v>
      </c>
      <c r="AC210">
        <v>51603440</v>
      </c>
      <c r="AD210">
        <v>60200000</v>
      </c>
      <c r="AE210">
        <v>51603440</v>
      </c>
      <c r="AG210">
        <v>100</v>
      </c>
      <c r="AH210">
        <v>85.72</v>
      </c>
      <c r="AI210">
        <v>1</v>
      </c>
      <c r="AJ210">
        <v>1.1665890000000001</v>
      </c>
      <c r="AK210">
        <v>0.41349999999999998</v>
      </c>
      <c r="AL210">
        <v>10.32</v>
      </c>
      <c r="AM210">
        <v>10321</v>
      </c>
      <c r="AN210">
        <v>1.1026</v>
      </c>
      <c r="AO210">
        <v>30</v>
      </c>
      <c r="AP210">
        <v>21.87</v>
      </c>
      <c r="AQ210">
        <v>0.72</v>
      </c>
      <c r="AR210">
        <v>-5.94</v>
      </c>
      <c r="AS210">
        <v>1.97</v>
      </c>
      <c r="AT210">
        <v>21.46</v>
      </c>
      <c r="AU210">
        <v>6666.69</v>
      </c>
      <c r="AV210">
        <v>35.81</v>
      </c>
      <c r="AW210">
        <v>9.7200000000000006</v>
      </c>
      <c r="AX210">
        <v>4.9400000000000004</v>
      </c>
      <c r="AY210">
        <v>33.878458000000002</v>
      </c>
      <c r="AZ210">
        <v>103.829742</v>
      </c>
      <c r="BA210">
        <v>-9.5895119999999991</v>
      </c>
      <c r="BB210">
        <v>0.120382</v>
      </c>
      <c r="BC210">
        <v>9.5895119999999991</v>
      </c>
      <c r="BD210">
        <v>57.865090000000002</v>
      </c>
      <c r="BE210">
        <v>187.51979</v>
      </c>
      <c r="BF210">
        <v>-4.8142100000000001</v>
      </c>
      <c r="BG210">
        <v>5.2654920000000001</v>
      </c>
      <c r="BH210">
        <v>4.8142100000000001</v>
      </c>
    </row>
    <row r="211" spans="1:60" x14ac:dyDescent="0.25">
      <c r="A211" t="s">
        <v>472</v>
      </c>
      <c r="B211" t="s">
        <v>473</v>
      </c>
      <c r="C211">
        <v>8</v>
      </c>
      <c r="D211" t="s">
        <v>399</v>
      </c>
      <c r="E211" cm="1">
        <f t="array" ref="E211">_xlfn.SWITCH(D211,"QPSK",0.1,"16QAM",0.25,"64QAM",0.5,"256QAM",0.8,"1024QAM",1,"")</f>
        <v>0.1</v>
      </c>
      <c r="F211" cm="1">
        <f t="array" ref="F211">_xlfn.SWITCH(D211,"QPSK",0.05,"16QAM",0.15,"64QAM",0.4,"256QAM",0.75,"1024QAM",1,"")</f>
        <v>0.05</v>
      </c>
      <c r="G211" t="s">
        <v>60</v>
      </c>
      <c r="H211">
        <v>8</v>
      </c>
      <c r="I211" t="s">
        <v>61</v>
      </c>
      <c r="J211">
        <v>2</v>
      </c>
      <c r="K211">
        <v>2</v>
      </c>
      <c r="L211" t="s">
        <v>62</v>
      </c>
      <c r="M211">
        <v>2</v>
      </c>
      <c r="N211">
        <v>0.47849999999999998</v>
      </c>
      <c r="O211">
        <v>0.4824</v>
      </c>
      <c r="P211">
        <v>5000</v>
      </c>
      <c r="Q211">
        <v>4253</v>
      </c>
      <c r="R211">
        <v>747</v>
      </c>
      <c r="S211">
        <v>1.18</v>
      </c>
      <c r="T211">
        <v>0.18</v>
      </c>
      <c r="W211">
        <v>4253</v>
      </c>
      <c r="X211">
        <v>0</v>
      </c>
      <c r="Y211">
        <v>14.94</v>
      </c>
      <c r="Z211">
        <v>0</v>
      </c>
      <c r="AB211">
        <v>60200000</v>
      </c>
      <c r="AC211">
        <v>51206120</v>
      </c>
      <c r="AD211">
        <v>60200000</v>
      </c>
      <c r="AE211">
        <v>51206120</v>
      </c>
      <c r="AG211">
        <v>100</v>
      </c>
      <c r="AH211">
        <v>85.06</v>
      </c>
      <c r="AI211">
        <v>1</v>
      </c>
      <c r="AJ211">
        <v>1.1756409999999999</v>
      </c>
      <c r="AK211">
        <v>0.4103</v>
      </c>
      <c r="AL211">
        <v>10.24</v>
      </c>
      <c r="AM211">
        <v>10241</v>
      </c>
      <c r="AN211">
        <v>1.0941000000000001</v>
      </c>
      <c r="AO211">
        <v>30</v>
      </c>
      <c r="AP211">
        <v>21.87</v>
      </c>
      <c r="AQ211">
        <v>0.72</v>
      </c>
      <c r="AR211">
        <v>-5.94</v>
      </c>
      <c r="AS211">
        <v>1.97</v>
      </c>
      <c r="AT211">
        <v>21.67</v>
      </c>
      <c r="AU211">
        <v>6666.69</v>
      </c>
      <c r="AV211">
        <v>35.81</v>
      </c>
      <c r="AW211">
        <v>9.7100000000000009</v>
      </c>
      <c r="AX211">
        <v>4.9400000000000004</v>
      </c>
      <c r="AY211">
        <v>33.885092</v>
      </c>
      <c r="AZ211">
        <v>103.721958</v>
      </c>
      <c r="BA211">
        <v>-9.5877420000000004</v>
      </c>
      <c r="BB211">
        <v>0.10888399999999999</v>
      </c>
      <c r="BC211">
        <v>9.5877420000000004</v>
      </c>
      <c r="BD211">
        <v>57.869807999999999</v>
      </c>
      <c r="BE211">
        <v>187.83782199999999</v>
      </c>
      <c r="BF211">
        <v>-4.8135579999999996</v>
      </c>
      <c r="BG211">
        <v>5.2850380000000001</v>
      </c>
      <c r="BH211">
        <v>4.8135579999999996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Austin Seward</cp:lastModifiedBy>
  <dcterms:created xsi:type="dcterms:W3CDTF">2026-05-02T16:11:36Z</dcterms:created>
  <dcterms:modified xsi:type="dcterms:W3CDTF">2026-05-02T23:45:15Z</dcterms:modified>
</cp:coreProperties>
</file>