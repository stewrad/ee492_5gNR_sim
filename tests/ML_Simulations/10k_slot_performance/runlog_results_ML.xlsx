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arsewar\ee492_5gNR_sim\tests\ML_Simulations\"/>
    </mc:Choice>
  </mc:AlternateContent>
  <xr:revisionPtr revIDLastSave="0" documentId="13_ncr:1_{5699147F-D076-4340-AFCA-A5F28EC73F70}" xr6:coauthVersionLast="47" xr6:coauthVersionMax="47" xr10:uidLastSave="{00000000-0000-0000-0000-000000000000}"/>
  <bookViews>
    <workbookView xWindow="3120" yWindow="3120" windowWidth="28800" windowHeight="15345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 a="1"/>
  <c r="F3" i="1" s="1"/>
  <c r="F4" i="1" a="1"/>
  <c r="F4" i="1" s="1"/>
  <c r="F5" i="1" a="1"/>
  <c r="F5" i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/>
  <c r="F13" i="1" a="1"/>
  <c r="F13" i="1" s="1"/>
  <c r="F14" i="1" a="1"/>
  <c r="F14" i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/>
  <c r="F45" i="1" a="1"/>
  <c r="F45" i="1"/>
  <c r="F46" i="1" a="1"/>
  <c r="F46" i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/>
  <c r="F61" i="1" a="1"/>
  <c r="F61" i="1" s="1"/>
  <c r="F62" i="1" a="1"/>
  <c r="F62" i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/>
  <c r="F110" i="1" a="1"/>
  <c r="F110" i="1"/>
  <c r="F111" i="1" a="1"/>
  <c r="F111" i="1" s="1"/>
  <c r="F112" i="1" a="1"/>
  <c r="F112" i="1" s="1"/>
  <c r="F113" i="1" a="1"/>
  <c r="F113" i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/>
  <c r="F142" i="1" a="1"/>
  <c r="F142" i="1"/>
  <c r="F143" i="1" a="1"/>
  <c r="F143" i="1" s="1"/>
  <c r="F144" i="1" a="1"/>
  <c r="F144" i="1" s="1"/>
  <c r="F145" i="1" a="1"/>
  <c r="F145" i="1"/>
  <c r="F146" i="1" a="1"/>
  <c r="F146" i="1" s="1"/>
  <c r="F147" i="1" a="1"/>
  <c r="F147" i="1" s="1"/>
  <c r="F148" i="1" a="1"/>
  <c r="F148" i="1" s="1"/>
  <c r="F149" i="1" a="1"/>
  <c r="F149" i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/>
  <c r="F158" i="1" a="1"/>
  <c r="F158" i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/>
  <c r="F166" i="1" a="1"/>
  <c r="F166" i="1" s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/>
  <c r="F175" i="1" a="1"/>
  <c r="F175" i="1" s="1"/>
  <c r="F176" i="1" a="1"/>
  <c r="F176" i="1" s="1"/>
  <c r="F177" i="1" a="1"/>
  <c r="F177" i="1"/>
  <c r="F178" i="1" a="1"/>
  <c r="F178" i="1" s="1"/>
  <c r="F179" i="1" a="1"/>
  <c r="F179" i="1" s="1"/>
  <c r="F180" i="1" a="1"/>
  <c r="F180" i="1" s="1"/>
  <c r="F181" i="1" a="1"/>
  <c r="F181" i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/>
  <c r="F190" i="1" a="1"/>
  <c r="F190" i="1"/>
  <c r="F191" i="1" a="1"/>
  <c r="F191" i="1" s="1"/>
  <c r="F192" i="1" a="1"/>
  <c r="F192" i="1" s="1"/>
  <c r="F193" i="1" a="1"/>
  <c r="F193" i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/>
  <c r="F207" i="1" a="1"/>
  <c r="F207" i="1" s="1"/>
  <c r="F208" i="1" a="1"/>
  <c r="F208" i="1" s="1"/>
  <c r="F209" i="1" a="1"/>
  <c r="F209" i="1"/>
  <c r="F210" i="1" a="1"/>
  <c r="F210" i="1" s="1"/>
  <c r="F211" i="1" a="1"/>
  <c r="F211" i="1" s="1"/>
  <c r="F212" i="1" a="1"/>
  <c r="F212" i="1" s="1"/>
  <c r="F213" i="1" a="1"/>
  <c r="F213" i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/>
  <c r="F222" i="1" a="1"/>
  <c r="F222" i="1"/>
  <c r="F223" i="1" a="1"/>
  <c r="F223" i="1" s="1"/>
  <c r="F224" i="1" a="1"/>
  <c r="F224" i="1" s="1"/>
  <c r="F225" i="1" a="1"/>
  <c r="F225" i="1"/>
  <c r="F226" i="1" a="1"/>
  <c r="F226" i="1" s="1"/>
  <c r="F227" i="1" a="1"/>
  <c r="F227" i="1" s="1"/>
  <c r="F228" i="1" a="1"/>
  <c r="F228" i="1" s="1"/>
  <c r="F229" i="1" a="1"/>
  <c r="F229" i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/>
  <c r="F242" i="1" a="1"/>
  <c r="F242" i="1" s="1"/>
  <c r="F243" i="1" a="1"/>
  <c r="F243" i="1" s="1"/>
  <c r="F244" i="1" a="1"/>
  <c r="F244" i="1" s="1"/>
  <c r="F245" i="1" a="1"/>
  <c r="F245" i="1"/>
  <c r="F246" i="1" a="1"/>
  <c r="F246" i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/>
  <c r="F255" i="1" a="1"/>
  <c r="F255" i="1" s="1"/>
  <c r="F256" i="1" a="1"/>
  <c r="F256" i="1" s="1"/>
  <c r="F257" i="1" a="1"/>
  <c r="F257" i="1"/>
  <c r="F258" i="1" a="1"/>
  <c r="F258" i="1" s="1"/>
  <c r="F259" i="1" a="1"/>
  <c r="F259" i="1" s="1"/>
  <c r="F260" i="1" a="1"/>
  <c r="F260" i="1" s="1"/>
  <c r="F261" i="1" a="1"/>
  <c r="F261" i="1"/>
  <c r="F262" i="1" a="1"/>
  <c r="F262" i="1"/>
  <c r="F263" i="1" a="1"/>
  <c r="F263" i="1" s="1"/>
  <c r="F264" i="1" a="1"/>
  <c r="F264" i="1" s="1"/>
  <c r="F265" i="1" a="1"/>
  <c r="F265" i="1" s="1"/>
  <c r="F2" i="1" a="1"/>
  <c r="F2" i="1" s="1"/>
  <c r="E3" i="1" a="1"/>
  <c r="E3" i="1" s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 s="1"/>
  <c r="E29" i="1" a="1"/>
  <c r="E29" i="1" s="1"/>
  <c r="E30" i="1" a="1"/>
  <c r="E30" i="1" s="1"/>
  <c r="E31" i="1" a="1"/>
  <c r="E31" i="1"/>
  <c r="E32" i="1" a="1"/>
  <c r="E32" i="1"/>
  <c r="E33" i="1" a="1"/>
  <c r="E33" i="1" s="1"/>
  <c r="E34" i="1" a="1"/>
  <c r="E34" i="1"/>
  <c r="E35" i="1" a="1"/>
  <c r="E35" i="1" s="1"/>
  <c r="E36" i="1" a="1"/>
  <c r="E36" i="1" s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42" i="1" a="1"/>
  <c r="E42" i="1" s="1"/>
  <c r="E43" i="1" a="1"/>
  <c r="E43" i="1"/>
  <c r="E44" i="1" a="1"/>
  <c r="E44" i="1" s="1"/>
  <c r="E45" i="1" a="1"/>
  <c r="E45" i="1" s="1"/>
  <c r="E46" i="1" a="1"/>
  <c r="E46" i="1"/>
  <c r="E47" i="1" a="1"/>
  <c r="E47" i="1"/>
  <c r="E48" i="1" a="1"/>
  <c r="E48" i="1"/>
  <c r="E49" i="1" a="1"/>
  <c r="E49" i="1" s="1"/>
  <c r="E50" i="1" a="1"/>
  <c r="E50" i="1"/>
  <c r="E51" i="1" a="1"/>
  <c r="E51" i="1" s="1"/>
  <c r="E52" i="1" a="1"/>
  <c r="E52" i="1" s="1"/>
  <c r="E53" i="1" a="1"/>
  <c r="E53" i="1" s="1"/>
  <c r="E54" i="1" a="1"/>
  <c r="E54" i="1" s="1"/>
  <c r="E55" i="1" a="1"/>
  <c r="E55" i="1"/>
  <c r="E56" i="1" a="1"/>
  <c r="E56" i="1" s="1"/>
  <c r="E57" i="1" a="1"/>
  <c r="E57" i="1" s="1"/>
  <c r="E58" i="1" a="1"/>
  <c r="E58" i="1" s="1"/>
  <c r="E59" i="1" a="1"/>
  <c r="E59" i="1"/>
  <c r="E60" i="1" a="1"/>
  <c r="E60" i="1" s="1"/>
  <c r="E61" i="1" a="1"/>
  <c r="E61" i="1" s="1"/>
  <c r="E62" i="1" a="1"/>
  <c r="E62" i="1"/>
  <c r="E63" i="1" a="1"/>
  <c r="E63" i="1"/>
  <c r="E64" i="1" a="1"/>
  <c r="E64" i="1"/>
  <c r="E65" i="1" a="1"/>
  <c r="E65" i="1" s="1"/>
  <c r="E66" i="1" a="1"/>
  <c r="E66" i="1"/>
  <c r="E67" i="1" a="1"/>
  <c r="E67" i="1" s="1"/>
  <c r="E68" i="1" a="1"/>
  <c r="E68" i="1" s="1"/>
  <c r="E69" i="1" a="1"/>
  <c r="E69" i="1" s="1"/>
  <c r="E70" i="1" a="1"/>
  <c r="E70" i="1"/>
  <c r="E71" i="1" a="1"/>
  <c r="E71" i="1"/>
  <c r="E72" i="1" a="1"/>
  <c r="E72" i="1" s="1"/>
  <c r="E73" i="1" a="1"/>
  <c r="E73" i="1" s="1"/>
  <c r="E74" i="1" a="1"/>
  <c r="E74" i="1" s="1"/>
  <c r="E75" i="1" a="1"/>
  <c r="E75" i="1"/>
  <c r="E76" i="1" a="1"/>
  <c r="E76" i="1" s="1"/>
  <c r="E77" i="1" a="1"/>
  <c r="E77" i="1" s="1"/>
  <c r="E78" i="1" a="1"/>
  <c r="E78" i="1"/>
  <c r="E79" i="1" a="1"/>
  <c r="E79" i="1" s="1"/>
  <c r="E80" i="1" a="1"/>
  <c r="E80" i="1"/>
  <c r="E81" i="1" a="1"/>
  <c r="E81" i="1" s="1"/>
  <c r="E82" i="1" a="1"/>
  <c r="E82" i="1"/>
  <c r="E83" i="1" a="1"/>
  <c r="E83" i="1" s="1"/>
  <c r="E84" i="1" a="1"/>
  <c r="E84" i="1" s="1"/>
  <c r="E85" i="1" a="1"/>
  <c r="E85" i="1" s="1"/>
  <c r="E86" i="1" a="1"/>
  <c r="E86" i="1"/>
  <c r="E87" i="1" a="1"/>
  <c r="E87" i="1"/>
  <c r="E88" i="1" a="1"/>
  <c r="E88" i="1" s="1"/>
  <c r="E89" i="1" a="1"/>
  <c r="E89" i="1" s="1"/>
  <c r="E90" i="1" a="1"/>
  <c r="E90" i="1" s="1"/>
  <c r="E91" i="1" a="1"/>
  <c r="E91" i="1"/>
  <c r="E92" i="1" a="1"/>
  <c r="E92" i="1" s="1"/>
  <c r="E93" i="1" a="1"/>
  <c r="E93" i="1" s="1"/>
  <c r="E94" i="1" a="1"/>
  <c r="E94" i="1"/>
  <c r="E95" i="1" a="1"/>
  <c r="E95" i="1"/>
  <c r="E96" i="1" a="1"/>
  <c r="E96" i="1"/>
  <c r="E97" i="1" a="1"/>
  <c r="E97" i="1" s="1"/>
  <c r="E98" i="1" a="1"/>
  <c r="E98" i="1"/>
  <c r="E99" i="1" a="1"/>
  <c r="E99" i="1" s="1"/>
  <c r="E100" i="1" a="1"/>
  <c r="E100" i="1" s="1"/>
  <c r="E101" i="1" a="1"/>
  <c r="E101" i="1" s="1"/>
  <c r="E102" i="1" a="1"/>
  <c r="E102" i="1"/>
  <c r="E103" i="1" a="1"/>
  <c r="E103" i="1"/>
  <c r="E104" i="1" a="1"/>
  <c r="E104" i="1" s="1"/>
  <c r="E105" i="1" a="1"/>
  <c r="E105" i="1" s="1"/>
  <c r="E106" i="1" a="1"/>
  <c r="E106" i="1" s="1"/>
  <c r="E107" i="1" a="1"/>
  <c r="E107" i="1"/>
  <c r="E108" i="1" a="1"/>
  <c r="E108" i="1" s="1"/>
  <c r="E109" i="1" a="1"/>
  <c r="E109" i="1"/>
  <c r="E110" i="1" a="1"/>
  <c r="E110" i="1"/>
  <c r="E111" i="1" a="1"/>
  <c r="E111" i="1"/>
  <c r="E112" i="1" a="1"/>
  <c r="E112" i="1"/>
  <c r="E113" i="1" a="1"/>
  <c r="E113" i="1" s="1"/>
  <c r="E114" i="1" a="1"/>
  <c r="E114" i="1"/>
  <c r="E115" i="1" a="1"/>
  <c r="E115" i="1" s="1"/>
  <c r="E116" i="1" a="1"/>
  <c r="E116" i="1" s="1"/>
  <c r="E117" i="1" a="1"/>
  <c r="E117" i="1" s="1"/>
  <c r="E118" i="1" a="1"/>
  <c r="E118" i="1"/>
  <c r="E119" i="1" a="1"/>
  <c r="E119" i="1"/>
  <c r="E120" i="1" a="1"/>
  <c r="E120" i="1" s="1"/>
  <c r="E121" i="1" a="1"/>
  <c r="E121" i="1" s="1"/>
  <c r="E122" i="1" a="1"/>
  <c r="E122" i="1" s="1"/>
  <c r="E123" i="1" a="1"/>
  <c r="E123" i="1" s="1"/>
  <c r="E124" i="1" a="1"/>
  <c r="E124" i="1" s="1"/>
  <c r="E125" i="1" a="1"/>
  <c r="E125" i="1"/>
  <c r="E126" i="1" a="1"/>
  <c r="E126" i="1"/>
  <c r="E127" i="1" a="1"/>
  <c r="E127" i="1"/>
  <c r="E128" i="1" a="1"/>
  <c r="E128" i="1"/>
  <c r="E129" i="1" a="1"/>
  <c r="E129" i="1" s="1"/>
  <c r="E130" i="1" a="1"/>
  <c r="E130" i="1"/>
  <c r="E131" i="1" a="1"/>
  <c r="E131" i="1" s="1"/>
  <c r="E132" i="1" a="1"/>
  <c r="E132" i="1" s="1"/>
  <c r="E133" i="1" a="1"/>
  <c r="E133" i="1" s="1"/>
  <c r="E134" i="1" a="1"/>
  <c r="E134" i="1"/>
  <c r="E135" i="1" a="1"/>
  <c r="E135" i="1"/>
  <c r="E136" i="1" a="1"/>
  <c r="E136" i="1" s="1"/>
  <c r="E137" i="1" a="1"/>
  <c r="E137" i="1" s="1"/>
  <c r="E138" i="1" a="1"/>
  <c r="E138" i="1" s="1"/>
  <c r="E139" i="1" a="1"/>
  <c r="E139" i="1" s="1"/>
  <c r="E140" i="1" a="1"/>
  <c r="E140" i="1" s="1"/>
  <c r="E141" i="1" a="1"/>
  <c r="E141" i="1" s="1"/>
  <c r="E142" i="1" a="1"/>
  <c r="E142" i="1"/>
  <c r="E143" i="1" a="1"/>
  <c r="E143" i="1"/>
  <c r="E144" i="1" a="1"/>
  <c r="E144" i="1"/>
  <c r="E145" i="1" a="1"/>
  <c r="E145" i="1" s="1"/>
  <c r="E146" i="1" a="1"/>
  <c r="E146" i="1"/>
  <c r="E147" i="1" a="1"/>
  <c r="E147" i="1" s="1"/>
  <c r="E148" i="1" a="1"/>
  <c r="E148" i="1" s="1"/>
  <c r="E149" i="1" a="1"/>
  <c r="E149" i="1" s="1"/>
  <c r="E150" i="1" a="1"/>
  <c r="E150" i="1" s="1"/>
  <c r="E151" i="1" a="1"/>
  <c r="E151" i="1"/>
  <c r="E152" i="1" a="1"/>
  <c r="E152" i="1" s="1"/>
  <c r="E153" i="1" a="1"/>
  <c r="E153" i="1" s="1"/>
  <c r="E154" i="1" a="1"/>
  <c r="E154" i="1" s="1"/>
  <c r="E155" i="1" a="1"/>
  <c r="E155" i="1" s="1"/>
  <c r="E156" i="1" a="1"/>
  <c r="E156" i="1" s="1"/>
  <c r="E157" i="1" a="1"/>
  <c r="E157" i="1"/>
  <c r="E158" i="1" a="1"/>
  <c r="E158" i="1"/>
  <c r="E159" i="1" a="1"/>
  <c r="E159" i="1"/>
  <c r="E160" i="1" a="1"/>
  <c r="E160" i="1"/>
  <c r="E161" i="1" a="1"/>
  <c r="E161" i="1" s="1"/>
  <c r="E162" i="1" a="1"/>
  <c r="E162" i="1" s="1"/>
  <c r="E163" i="1" a="1"/>
  <c r="E163" i="1" s="1"/>
  <c r="E164" i="1" a="1"/>
  <c r="E164" i="1" s="1"/>
  <c r="E165" i="1" a="1"/>
  <c r="E165" i="1" s="1"/>
  <c r="E166" i="1" a="1"/>
  <c r="E166" i="1"/>
  <c r="E167" i="1" a="1"/>
  <c r="E167" i="1" s="1"/>
  <c r="E168" i="1" a="1"/>
  <c r="E168" i="1" s="1"/>
  <c r="E169" i="1" a="1"/>
  <c r="E169" i="1" s="1"/>
  <c r="E170" i="1" a="1"/>
  <c r="E170" i="1" s="1"/>
  <c r="E171" i="1" a="1"/>
  <c r="E171" i="1" s="1"/>
  <c r="E172" i="1" a="1"/>
  <c r="E172" i="1" s="1"/>
  <c r="E173" i="1" a="1"/>
  <c r="E173" i="1"/>
  <c r="E174" i="1" a="1"/>
  <c r="E174" i="1"/>
  <c r="E175" i="1" a="1"/>
  <c r="E175" i="1"/>
  <c r="E176" i="1" a="1"/>
  <c r="E176" i="1"/>
  <c r="E177" i="1" a="1"/>
  <c r="E177" i="1"/>
  <c r="E178" i="1" a="1"/>
  <c r="E178" i="1" s="1"/>
  <c r="E179" i="1" a="1"/>
  <c r="E179" i="1" s="1"/>
  <c r="E180" i="1" a="1"/>
  <c r="E180" i="1" s="1"/>
  <c r="E181" i="1" a="1"/>
  <c r="E181" i="1" s="1"/>
  <c r="E182" i="1" a="1"/>
  <c r="E182" i="1"/>
  <c r="E183" i="1" a="1"/>
  <c r="E183" i="1"/>
  <c r="E184" i="1" a="1"/>
  <c r="E184" i="1" s="1"/>
  <c r="E185" i="1" a="1"/>
  <c r="E185" i="1" s="1"/>
  <c r="E186" i="1" a="1"/>
  <c r="E186" i="1" s="1"/>
  <c r="E187" i="1" a="1"/>
  <c r="E187" i="1" s="1"/>
  <c r="E188" i="1" a="1"/>
  <c r="E188" i="1" s="1"/>
  <c r="E189" i="1" a="1"/>
  <c r="E189" i="1"/>
  <c r="E190" i="1" a="1"/>
  <c r="E190" i="1"/>
  <c r="E191" i="1" a="1"/>
  <c r="E191" i="1"/>
  <c r="E192" i="1" a="1"/>
  <c r="E192" i="1"/>
  <c r="E193" i="1" a="1"/>
  <c r="E193" i="1" s="1"/>
  <c r="E194" i="1" a="1"/>
  <c r="E194" i="1"/>
  <c r="E195" i="1" a="1"/>
  <c r="E195" i="1" s="1"/>
  <c r="E196" i="1" a="1"/>
  <c r="E196" i="1" s="1"/>
  <c r="E197" i="1" a="1"/>
  <c r="E197" i="1" s="1"/>
  <c r="E198" i="1" a="1"/>
  <c r="E198" i="1"/>
  <c r="E199" i="1" a="1"/>
  <c r="E199" i="1"/>
  <c r="E200" i="1" a="1"/>
  <c r="E200" i="1" s="1"/>
  <c r="E201" i="1" a="1"/>
  <c r="E201" i="1" s="1"/>
  <c r="E202" i="1" a="1"/>
  <c r="E202" i="1" s="1"/>
  <c r="E203" i="1" a="1"/>
  <c r="E203" i="1" s="1"/>
  <c r="E204" i="1" a="1"/>
  <c r="E204" i="1" s="1"/>
  <c r="E205" i="1" a="1"/>
  <c r="E205" i="1"/>
  <c r="E206" i="1" a="1"/>
  <c r="E206" i="1"/>
  <c r="E207" i="1" a="1"/>
  <c r="E207" i="1"/>
  <c r="E208" i="1" a="1"/>
  <c r="E208" i="1"/>
  <c r="E209" i="1" a="1"/>
  <c r="E209" i="1" s="1"/>
  <c r="E210" i="1" a="1"/>
  <c r="E210" i="1"/>
  <c r="E211" i="1" a="1"/>
  <c r="E211" i="1" s="1"/>
  <c r="E212" i="1" a="1"/>
  <c r="E212" i="1" s="1"/>
  <c r="E213" i="1" a="1"/>
  <c r="E213" i="1" s="1"/>
  <c r="E214" i="1" a="1"/>
  <c r="E214" i="1"/>
  <c r="E215" i="1" a="1"/>
  <c r="E215" i="1"/>
  <c r="E216" i="1" a="1"/>
  <c r="E216" i="1" s="1"/>
  <c r="E217" i="1" a="1"/>
  <c r="E217" i="1" s="1"/>
  <c r="E218" i="1" a="1"/>
  <c r="E218" i="1" s="1"/>
  <c r="E219" i="1" a="1"/>
  <c r="E219" i="1" s="1"/>
  <c r="E220" i="1" a="1"/>
  <c r="E220" i="1" s="1"/>
  <c r="E221" i="1" a="1"/>
  <c r="E221" i="1" s="1"/>
  <c r="E222" i="1" a="1"/>
  <c r="E222" i="1"/>
  <c r="E223" i="1" a="1"/>
  <c r="E223" i="1"/>
  <c r="E224" i="1" a="1"/>
  <c r="E224" i="1"/>
  <c r="E225" i="1" a="1"/>
  <c r="E225" i="1"/>
  <c r="E226" i="1" a="1"/>
  <c r="E226" i="1" s="1"/>
  <c r="E227" i="1" a="1"/>
  <c r="E227" i="1" s="1"/>
  <c r="E228" i="1" a="1"/>
  <c r="E228" i="1" s="1"/>
  <c r="E229" i="1" a="1"/>
  <c r="E229" i="1" s="1"/>
  <c r="E230" i="1" a="1"/>
  <c r="E230" i="1"/>
  <c r="E231" i="1" a="1"/>
  <c r="E231" i="1"/>
  <c r="E232" i="1" a="1"/>
  <c r="E232" i="1" s="1"/>
  <c r="E233" i="1" a="1"/>
  <c r="E233" i="1" s="1"/>
  <c r="E234" i="1" a="1"/>
  <c r="E234" i="1" s="1"/>
  <c r="E235" i="1" a="1"/>
  <c r="E235" i="1" s="1"/>
  <c r="E236" i="1" a="1"/>
  <c r="E236" i="1" s="1"/>
  <c r="E237" i="1" a="1"/>
  <c r="E237" i="1" s="1"/>
  <c r="E238" i="1" a="1"/>
  <c r="E238" i="1"/>
  <c r="E239" i="1" a="1"/>
  <c r="E239" i="1"/>
  <c r="E240" i="1" a="1"/>
  <c r="E240" i="1"/>
  <c r="E241" i="1" a="1"/>
  <c r="E241" i="1" s="1"/>
  <c r="E242" i="1" a="1"/>
  <c r="E242" i="1"/>
  <c r="E243" i="1" a="1"/>
  <c r="E243" i="1" s="1"/>
  <c r="E244" i="1" a="1"/>
  <c r="E244" i="1" s="1"/>
  <c r="E245" i="1" a="1"/>
  <c r="E245" i="1" s="1"/>
  <c r="E246" i="1" a="1"/>
  <c r="E246" i="1"/>
  <c r="E247" i="1" a="1"/>
  <c r="E247" i="1"/>
  <c r="E248" i="1" a="1"/>
  <c r="E248" i="1" s="1"/>
  <c r="E249" i="1" a="1"/>
  <c r="E249" i="1" s="1"/>
  <c r="E250" i="1" a="1"/>
  <c r="E250" i="1" s="1"/>
  <c r="E251" i="1" a="1"/>
  <c r="E251" i="1" s="1"/>
  <c r="E252" i="1" a="1"/>
  <c r="E252" i="1" s="1"/>
  <c r="E253" i="1" a="1"/>
  <c r="E253" i="1" s="1"/>
  <c r="E254" i="1" a="1"/>
  <c r="E254" i="1"/>
  <c r="E255" i="1" a="1"/>
  <c r="E255" i="1"/>
  <c r="E256" i="1" a="1"/>
  <c r="E256" i="1"/>
  <c r="E257" i="1" a="1"/>
  <c r="E257" i="1" s="1"/>
  <c r="E258" i="1" a="1"/>
  <c r="E258" i="1"/>
  <c r="E259" i="1" a="1"/>
  <c r="E259" i="1" s="1"/>
  <c r="E260" i="1" a="1"/>
  <c r="E260" i="1" s="1"/>
  <c r="E261" i="1" a="1"/>
  <c r="E261" i="1" s="1"/>
  <c r="E262" i="1" a="1"/>
  <c r="E262" i="1"/>
  <c r="E263" i="1" a="1"/>
  <c r="E263" i="1"/>
  <c r="E264" i="1" a="1"/>
  <c r="E264" i="1" s="1"/>
  <c r="E265" i="1" a="1"/>
  <c r="E265" i="1" s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<sst xmlns="http://schemas.openxmlformats.org/spreadsheetml/2006/main" count="1644" uniqueCount="577">
  <si>
    <t>Source File</t>
  </si>
  <si>
    <t>Timestamp</t>
  </si>
  <si>
    <t>SNRdB</t>
  </si>
  <si>
    <t>Modulation</t>
  </si>
  <si>
    <t>HARQ Type</t>
  </si>
  <si>
    <t>NHARQProcesses</t>
  </si>
  <si>
    <t>rvSeq</t>
  </si>
  <si>
    <t>nTxAnts</t>
  </si>
  <si>
    <t>nRxAnts</t>
  </si>
  <si>
    <t>DelayProfile</t>
  </si>
  <si>
    <t>NumLayers</t>
  </si>
  <si>
    <t>Code Rate</t>
  </si>
  <si>
    <t>Nominal Code Rate</t>
  </si>
  <si>
    <t>Total Transmissions</t>
  </si>
  <si>
    <t>Initial Transmissions</t>
  </si>
  <si>
    <t>Retransmissions</t>
  </si>
  <si>
    <t>Average Transmissions per TB</t>
  </si>
  <si>
    <t>Retransmission Rate (%)</t>
  </si>
  <si>
    <t>TBs Requiring Retransmission</t>
  </si>
  <si>
    <t>Average Retransmission Attempts per TB</t>
  </si>
  <si>
    <t>Successful Blocks</t>
  </si>
  <si>
    <t>Failed Blocks (after max retx)</t>
  </si>
  <si>
    <t>Attempt BLER % (pre-HARQ)</t>
  </si>
  <si>
    <t>Final BLER % (post-HARQ)</t>
  </si>
  <si>
    <t>Block Error Rate (BLER %)</t>
  </si>
  <si>
    <t>Total Bits Transmitted</t>
  </si>
  <si>
    <t>Total Bits Received</t>
  </si>
  <si>
    <t>Total Information Bits Sent (all HARQ attempts)</t>
  </si>
  <si>
    <t>Total Information Bits Delivered Successfully</t>
  </si>
  <si>
    <t>Total Coded Bits Transmitted</t>
  </si>
  <si>
    <t>Throughput Efficiency (%)</t>
  </si>
  <si>
    <t>HARQ Efficiency (%)</t>
  </si>
  <si>
    <t>Time Slot Duration (ms)</t>
  </si>
  <si>
    <t>Estimated Latency (ms)</t>
  </si>
  <si>
    <t>Effective Code Rate</t>
  </si>
  <si>
    <t>Average Throughput (Mbps)</t>
  </si>
  <si>
    <t>Average Bits per Slot (bits)</t>
  </si>
  <si>
    <t>Spectral Efficiency (bits/s/Hz)</t>
  </si>
  <si>
    <t>RMS Delay Spread (ns)</t>
  </si>
  <si>
    <t>Mean Excess Delay (ns)</t>
  </si>
  <si>
    <t>Maximum Channel Delay (us)</t>
  </si>
  <si>
    <t>Average Channel Gain (dB)</t>
  </si>
  <si>
    <t>Channel Gain Std Dev (dB)</t>
  </si>
  <si>
    <t>Average Condition Number</t>
  </si>
  <si>
    <t>Coherence Bandwidth (50% corr) (kHz)</t>
  </si>
  <si>
    <t>Coherence Time (50% corr) (ms)</t>
  </si>
  <si>
    <t>Layer 1 - Mean SINR</t>
  </si>
  <si>
    <t>Layer 2 - Mean SINR</t>
  </si>
  <si>
    <t>L1 RMS EVM (%)</t>
  </si>
  <si>
    <t>L1 Peak EVM (%)</t>
  </si>
  <si>
    <t>L1 Avg EVM (dB)</t>
  </si>
  <si>
    <t>L1 Peak EVM (dB)</t>
  </si>
  <si>
    <t>L1 Avg MER (dB)</t>
  </si>
  <si>
    <t>L2 RMS EVM (%)</t>
  </si>
  <si>
    <t>L2 Peak EVM (%)</t>
  </si>
  <si>
    <t>L2 Avg EVM (dB)</t>
  </si>
  <si>
    <t>L2 Peak EVM (dB)</t>
  </si>
  <si>
    <t>L2 Avg MER (dB)</t>
  </si>
  <si>
    <t>1024QAM_SNR0.0_TDL-C_NHARQ1_rvSeq[0231]_2x2_20260503_000719_run00057.txt</t>
  </si>
  <si>
    <t>03-May-2026 00:07:19</t>
  </si>
  <si>
    <t>1024QAM</t>
  </si>
  <si>
    <t>Chase Combining</t>
  </si>
  <si>
    <t>[0 2 3 1]</t>
  </si>
  <si>
    <t>TDL-C</t>
  </si>
  <si>
    <t>1024QAM_SNR0.0_TDL-C_NHARQ4_rvSeq[0231]_2x2_20260503_145023_run00127.txt</t>
  </si>
  <si>
    <t>03-May-2026 14:50:23</t>
  </si>
  <si>
    <t>1024QAM_SNR0.0_TDL-C_NHARQ8_rvSeq[0231]_2x2_20260503_045612_run00197.txt</t>
  </si>
  <si>
    <t>03-May-2026 04:56:12</t>
  </si>
  <si>
    <t>1024QAM_SNR10.0_TDL-C_NHARQ1_rvSeq[0231]_2x2_20260502_235809_run00067.txt</t>
  </si>
  <si>
    <t>02-May-2026 23:58:09</t>
  </si>
  <si>
    <t>1024QAM_SNR10.0_TDL-C_NHARQ1_rvSeq[0231]_2x2_20260503_075359_run00062.txt</t>
  </si>
  <si>
    <t>03-May-2026 07:53:59</t>
  </si>
  <si>
    <t>1024QAM_SNR10.0_TDL-C_NHARQ4_rvSeq[0231]_2x2_20260503_031923_run00132.txt</t>
  </si>
  <si>
    <t>03-May-2026 03:19:23</t>
  </si>
  <si>
    <t>1024QAM_SNR10.0_TDL-C_NHARQ4_rvSeq[0231]_2x2_20260503_100912_run00137.txt</t>
  </si>
  <si>
    <t>03-May-2026 10:09:12</t>
  </si>
  <si>
    <t>1024QAM_SNR10.0_TDL-C_NHARQ8_rvSeq[0231]_2x2_20260503_033012_run00202.txt</t>
  </si>
  <si>
    <t>03-May-2026 03:30:12</t>
  </si>
  <si>
    <t>1024QAM_SNR10.0_TDL-C_NHARQ8_rvSeq[0231]_2x2_20260503_053657_run00207.txt</t>
  </si>
  <si>
    <t>03-May-2026 05:36:57</t>
  </si>
  <si>
    <t>1024QAM_SNR12.0_TDL-C_NHARQ1_rvSeq[0231]_2x2_20260503_062418_run00063.txt</t>
  </si>
  <si>
    <t>03-May-2026 06:24:18</t>
  </si>
  <si>
    <t>1024QAM_SNR12.0_TDL-C_NHARQ4_rvSeq[0231]_2x2_20260503_014151_run00133.txt</t>
  </si>
  <si>
    <t>03-May-2026 01:41:51</t>
  </si>
  <si>
    <t>1024QAM_SNR12.0_TDL-C_NHARQ8_rvSeq[0231]_2x2_20260503_052028_run00203.txt</t>
  </si>
  <si>
    <t>03-May-2026 05:20:28</t>
  </si>
  <si>
    <t>1024QAM_SNR14.0_TDL-C_NHARQ1_rvSeq[0231]_2x2_20260503_045033_run00064.txt</t>
  </si>
  <si>
    <t>03-May-2026 04:50:33</t>
  </si>
  <si>
    <t>1024QAM_SNR14.0_TDL-C_NHARQ4_rvSeq[0231]_2x2_20260503_000420_run00134.txt</t>
  </si>
  <si>
    <t>03-May-2026 00:04:20</t>
  </si>
  <si>
    <t>1024QAM_SNR14.0_TDL-C_NHARQ8_rvSeq[0231]_2x2_20260503_034725_run00204.txt</t>
  </si>
  <si>
    <t>03-May-2026 03:47:25</t>
  </si>
  <si>
    <t>1024QAM_SNR16.0_TDL-C_NHARQ1_rvSeq[0231]_2x2_20260503_031549_run00065.txt</t>
  </si>
  <si>
    <t>03-May-2026 03:15:49</t>
  </si>
  <si>
    <t>1024QAM_SNR16.0_TDL-C_NHARQ4_rvSeq[0231]_2x2_20260502_222706_run00135.txt</t>
  </si>
  <si>
    <t>02-May-2026 22:27:06</t>
  </si>
  <si>
    <t>1024QAM_SNR16.0_TDL-C_NHARQ8_rvSeq[0231]_2x2_20260503_052648_run00205.txt</t>
  </si>
  <si>
    <t>03-May-2026 05:26:48</t>
  </si>
  <si>
    <t>1024QAM_SNR18.0_TDL-C_NHARQ1_rvSeq[0231]_2x2_20260503_013756_run00066.txt</t>
  </si>
  <si>
    <t>03-May-2026 01:37:56</t>
  </si>
  <si>
    <t>1024QAM_SNR18.0_TDL-C_NHARQ4_rvSeq[0231]_2x2_20260503_113511_run00136.txt</t>
  </si>
  <si>
    <t>03-May-2026 11:35:11</t>
  </si>
  <si>
    <t>1024QAM_SNR18.0_TDL-C_NHARQ8_rvSeq[0231]_2x2_20260503_035436_run00206.txt</t>
  </si>
  <si>
    <t>03-May-2026 03:54:36</t>
  </si>
  <si>
    <t>1024QAM_SNR2.0_TDL-C_NHARQ1_rvSeq[0231]_2x2_20260502_222745_run00058.txt</t>
  </si>
  <si>
    <t>02-May-2026 22:27:45</t>
  </si>
  <si>
    <t>1024QAM_SNR2.0_TDL-C_NHARQ4_rvSeq[0231]_2x2_20260503_133345_run00128.txt</t>
  </si>
  <si>
    <t>03-May-2026 13:33:45</t>
  </si>
  <si>
    <t>1024QAM_SNR2.0_TDL-C_NHARQ8_rvSeq[0231]_2x2_20260503_032014_run00198.txt</t>
  </si>
  <si>
    <t>03-May-2026 03:20:14</t>
  </si>
  <si>
    <t>1024QAM_SNR20.0_TDL-C_NHARQ1_rvSeq[0231]_2x2_20260502_222050_run00068.txt</t>
  </si>
  <si>
    <t>02-May-2026 22:20:50</t>
  </si>
  <si>
    <t>1024QAM_SNR20.0_TDL-C_NHARQ4_rvSeq[0231]_2x2_20260503_084558_run00138.txt</t>
  </si>
  <si>
    <t>03-May-2026 08:45:58</t>
  </si>
  <si>
    <t>1024QAM_SNR20.0_TDL-C_NHARQ8_rvSeq[0231]_2x2_20260503_040442_run00208.txt</t>
  </si>
  <si>
    <t>03-May-2026 04:04:42</t>
  </si>
  <si>
    <t>1024QAM_SNR22.0_TDL-C_NHARQ1_rvSeq[0231]_2x2_20260502_204153_run00069.txt</t>
  </si>
  <si>
    <t>02-May-2026 20:41:53</t>
  </si>
  <si>
    <t>1024QAM_SNR22.0_TDL-C_NHARQ4_rvSeq[0231]_2x2_20260503_072126_run00139.txt</t>
  </si>
  <si>
    <t>03-May-2026 07:21:26</t>
  </si>
  <si>
    <t>1024QAM_SNR22.0_TDL-C_NHARQ8_rvSeq[0231]_2x2_20260503_060456_run00209.txt</t>
  </si>
  <si>
    <t>03-May-2026 06:04:56</t>
  </si>
  <si>
    <t>1024QAM_SNR24.0_TDL-C_NHARQ1_rvSeq[0231]_2x2_20260502_190129_run00070.txt</t>
  </si>
  <si>
    <t>02-May-2026 19:01:29</t>
  </si>
  <si>
    <t>1024QAM_SNR24.0_TDL-C_NHARQ4_rvSeq[0231]_2x2_20260503_055202_run00140.txt</t>
  </si>
  <si>
    <t>03-May-2026 05:52:02</t>
  </si>
  <si>
    <t>1024QAM_SNR24.0_TDL-C_NHARQ8_rvSeq[0231]_2x2_20260503_043235_run00210.txt</t>
  </si>
  <si>
    <t>03-May-2026 04:32:35</t>
  </si>
  <si>
    <t>1024QAM_SNR4.0_TDL-C_NHARQ1_rvSeq[0231]_2x2_20260502_204606_run00059.txt</t>
  </si>
  <si>
    <t>02-May-2026 20:46:06</t>
  </si>
  <si>
    <t>1024QAM_SNR4.0_TDL-C_NHARQ4_rvSeq[0231]_2x2_20260503_121209_run00129.txt</t>
  </si>
  <si>
    <t>03-May-2026 12:12:09</t>
  </si>
  <si>
    <t>1024QAM_SNR4.0_TDL-C_NHARQ8_rvSeq[0231]_2x2_20260503_052216_run00199.txt</t>
  </si>
  <si>
    <t>03-May-2026 05:22:16</t>
  </si>
  <si>
    <t>1024QAM_SNR6.0_TDL-C_NHARQ1_rvSeq[0231]_2x2_20260502_190218_run00060.txt</t>
  </si>
  <si>
    <t>02-May-2026 19:02:18</t>
  </si>
  <si>
    <t>1024QAM_SNR6.0_TDL-C_NHARQ4_rvSeq[0231]_2x2_20260503_104539_run00130.txt</t>
  </si>
  <si>
    <t>03-May-2026 10:45:39</t>
  </si>
  <si>
    <t>1024QAM_SNR6.0_TDL-C_NHARQ8_rvSeq[0231]_2x2_20260503_034550_run00200.txt</t>
  </si>
  <si>
    <t>03-May-2026 03:45:50</t>
  </si>
  <si>
    <t>1024QAM_SNR8.0_TDL-C_NHARQ1_rvSeq[0231]_2x2_20260503_091953_run00061.txt</t>
  </si>
  <si>
    <t>03-May-2026 09:19:53</t>
  </si>
  <si>
    <t>1024QAM_SNR8.0_TDL-C_NHARQ4_rvSeq[0231]_2x2_20260503_045337_run00131.txt</t>
  </si>
  <si>
    <t>03-May-2026 04:53:37</t>
  </si>
  <si>
    <t>1024QAM_SNR8.0_TDL-C_NHARQ8_rvSeq[0231]_2x2_20260503_050620_run00201.txt</t>
  </si>
  <si>
    <t>03-May-2026 05:06:20</t>
  </si>
  <si>
    <t>16QAM_SNR0.0_TDL-C_NHARQ16_rvSeq[0231]_2x2_20260503_174411_run00019.txt</t>
  </si>
  <si>
    <t>03-May-2026 17:44:11</t>
  </si>
  <si>
    <t>16QAM</t>
  </si>
  <si>
    <t>16QAM_SNR0.0_TDL-C_NHARQ1_rvSeq[0231]_2x2_20260502_184548_run00015.txt</t>
  </si>
  <si>
    <t>02-May-2026 18:45:48</t>
  </si>
  <si>
    <t>16QAM_SNR0.0_TDL-C_NHARQ1_rvSeq[0231]_2x2_20260503_171942_run00001.txt</t>
  </si>
  <si>
    <t>03-May-2026 17:19:44</t>
  </si>
  <si>
    <t>16QAM_SNR0.0_TDL-C_NHARQ4_rvSeq[0231]_2x2_20260502_205606_run00085.txt</t>
  </si>
  <si>
    <t>02-May-2026 20:56:06</t>
  </si>
  <si>
    <t>16QAM_SNR0.0_TDL-C_NHARQ4_rvSeq[0231]_2x2_20260503_171942_run00010.txt</t>
  </si>
  <si>
    <t>16QAM_SNR0.0_TDL-C_NHARQ8_rvSeq[0231]_2x2_20260502_224834_run00155.txt</t>
  </si>
  <si>
    <t>02-May-2026 22:48:34</t>
  </si>
  <si>
    <t>16QAM_SNR10.0_TDL-C_NHARQ16_rvSeq[0231]_2x2_20260503_173146_run00024.txt</t>
  </si>
  <si>
    <t>03-May-2026 17:31:46</t>
  </si>
  <si>
    <t>16QAM_SNR10.0_TDL-C_NHARQ1_rvSeq[0231]_2x2_20260502_181935_run00020.txt</t>
  </si>
  <si>
    <t>02-May-2026 18:19:36</t>
  </si>
  <si>
    <t>16QAM_SNR10.0_TDL-C_NHARQ1_rvSeq[0231]_2x2_20260502_210501_run00025.txt</t>
  </si>
  <si>
    <t>02-May-2026 21:05:01</t>
  </si>
  <si>
    <t>16QAM_SNR10.0_TDL-C_NHARQ1_rvSeq[0231]_2x2_20260503_171942_run00006.txt</t>
  </si>
  <si>
    <t>16QAM_SNR10.0_TDL-C_NHARQ4_rvSeq[0231]_2x2_20260502_190202_run00090.txt</t>
  </si>
  <si>
    <t>02-May-2026 19:02:02</t>
  </si>
  <si>
    <t>16QAM_SNR10.0_TDL-C_NHARQ4_rvSeq[0231]_2x2_20260502_211215_run00095.txt</t>
  </si>
  <si>
    <t>02-May-2026 21:12:15</t>
  </si>
  <si>
    <t>16QAM_SNR10.0_TDL-C_NHARQ4_rvSeq[0231]_2x2_20260503_174353_run00015.txt</t>
  </si>
  <si>
    <t>03-May-2026 17:43:53</t>
  </si>
  <si>
    <t>16QAM_SNR10.0_TDL-C_NHARQ8_rvSeq[0231]_2x2_20260502_235118_run00165.txt</t>
  </si>
  <si>
    <t>02-May-2026 23:51:18</t>
  </si>
  <si>
    <t>16QAM_SNR10.0_TDL-C_NHARQ8_rvSeq[0231]_2x2_20260503_020133_run00160.txt</t>
  </si>
  <si>
    <t>03-May-2026 02:01:33</t>
  </si>
  <si>
    <t>16QAM_SNR12.0_TDL-C_NHARQ16_rvSeq[0231]_2x2_20260503_174301_run00025.txt</t>
  </si>
  <si>
    <t>03-May-2026 17:43:01</t>
  </si>
  <si>
    <t>16QAM_SNR12.0_TDL-C_NHARQ1_rvSeq[0231]_2x2_20260502_222801_run00021.txt</t>
  </si>
  <si>
    <t>02-May-2026 22:28:01</t>
  </si>
  <si>
    <t>16QAM_SNR12.0_TDL-C_NHARQ1_rvSeq[0231]_2x2_20260503_171942_run00007.txt</t>
  </si>
  <si>
    <t>16QAM_SNR12.0_TDL-C_NHARQ4_rvSeq[0231]_2x2_20260502_223530_run00091.txt</t>
  </si>
  <si>
    <t>02-May-2026 22:35:30</t>
  </si>
  <si>
    <t>16QAM_SNR12.0_TDL-C_NHARQ4_rvSeq[0231]_2x2_20260503_173214_run00016.txt</t>
  </si>
  <si>
    <t>03-May-2026 17:32:14</t>
  </si>
  <si>
    <t>16QAM_SNR12.0_TDL-C_NHARQ8_rvSeq[0231]_2x2_20260503_011253_run00161.txt</t>
  </si>
  <si>
    <t>03-May-2026 01:12:53</t>
  </si>
  <si>
    <t>16QAM_SNR14.0_TDL-C_NHARQ16_rvSeq[0231]_2x2_20260503_173134_run00026.txt</t>
  </si>
  <si>
    <t>03-May-2026 17:31:34</t>
  </si>
  <si>
    <t>16QAM_SNR14.0_TDL-C_NHARQ1_rvSeq[0231]_2x2_20260502_220717_run00022.txt</t>
  </si>
  <si>
    <t>02-May-2026 22:07:17</t>
  </si>
  <si>
    <t>16QAM_SNR14.0_TDL-C_NHARQ1_rvSeq[0231]_2x2_20260503_171942_run00008.txt</t>
  </si>
  <si>
    <t>16QAM_SNR14.0_TDL-C_NHARQ4_rvSeq[0231]_2x2_20260502_221452_run00092.txt</t>
  </si>
  <si>
    <t>02-May-2026 22:14:52</t>
  </si>
  <si>
    <t>16QAM_SNR14.0_TDL-C_NHARQ4_rvSeq[0231]_2x2_20260503_174323_run00017.txt</t>
  </si>
  <si>
    <t>03-May-2026 17:43:23</t>
  </si>
  <si>
    <t>16QAM_SNR14.0_TDL-C_NHARQ8_rvSeq[0231]_2x2_20260503_005239_run00162.txt</t>
  </si>
  <si>
    <t>03-May-2026 00:52:39</t>
  </si>
  <si>
    <t>16QAM_SNR16.0_TDL-C_NHARQ16_rvSeq[0231]_2x2_20260503_174649_run00027.txt</t>
  </si>
  <si>
    <t>03-May-2026 17:46:49</t>
  </si>
  <si>
    <t>16QAM_SNR16.0_TDL-C_NHARQ1_rvSeq[0231]_2x2_20260502_214638_run00023.txt</t>
  </si>
  <si>
    <t>02-May-2026 21:46:38</t>
  </si>
  <si>
    <t>16QAM_SNR16.0_TDL-C_NHARQ1_rvSeq[0231]_2x2_20260503_171942_run00009.txt</t>
  </si>
  <si>
    <t>16QAM_SNR16.0_TDL-C_NHARQ4_rvSeq[0231]_2x2_20260502_215407_run00093.txt</t>
  </si>
  <si>
    <t>02-May-2026 21:54:07</t>
  </si>
  <si>
    <t>16QAM_SNR16.0_TDL-C_NHARQ4_rvSeq[0231]_2x2_20260503_173207_run00018.txt</t>
  </si>
  <si>
    <t>03-May-2026 17:32:07</t>
  </si>
  <si>
    <t>16QAM_SNR16.0_TDL-C_NHARQ8_rvSeq[0231]_2x2_20260503_003228_run00163.txt</t>
  </si>
  <si>
    <t>03-May-2026 00:32:28</t>
  </si>
  <si>
    <t>16QAM_SNR18.0_TDL-C_NHARQ1_rvSeq[0231]_2x2_20260502_212627_run00024.txt</t>
  </si>
  <si>
    <t>02-May-2026 21:26:27</t>
  </si>
  <si>
    <t>16QAM_SNR18.0_TDL-C_NHARQ4_rvSeq[0231]_2x2_20260502_213352_run00094.txt</t>
  </si>
  <si>
    <t>02-May-2026 21:33:52</t>
  </si>
  <si>
    <t>16QAM_SNR18.0_TDL-C_NHARQ8_rvSeq[0231]_2x2_20260503_001235_run00164.txt</t>
  </si>
  <si>
    <t>03-May-2026 00:12:35</t>
  </si>
  <si>
    <t>16QAM_SNR2.0_TDL-C_NHARQ16_rvSeq[0231]_2x2_20260503_173158_run00020.txt</t>
  </si>
  <si>
    <t>03-May-2026 17:31:58</t>
  </si>
  <si>
    <t>16QAM_SNR2.0_TDL-C_NHARQ1_rvSeq[0231]_2x2_20260502_181935_run00016.txt</t>
  </si>
  <si>
    <t>16QAM_SNR2.0_TDL-C_NHARQ1_rvSeq[0231]_2x2_20260503_171942_run00002.txt</t>
  </si>
  <si>
    <t>16QAM_SNR2.0_TDL-C_NHARQ4_rvSeq[0231]_2x2_20260502_203330_run00086.txt</t>
  </si>
  <si>
    <t>02-May-2026 20:33:30</t>
  </si>
  <si>
    <t>16QAM_SNR2.0_TDL-C_NHARQ4_rvSeq[0231]_2x2_20260503_174423_run00011.txt</t>
  </si>
  <si>
    <t>03-May-2026 17:44:23</t>
  </si>
  <si>
    <t>16QAM_SNR2.0_TDL-C_NHARQ8_rvSeq[0231]_2x2_20260503_032513_run00156.txt</t>
  </si>
  <si>
    <t>03-May-2026 03:25:13</t>
  </si>
  <si>
    <t>16QAM_SNR20.0_TDL-C_NHARQ1_rvSeq[0231]_2x2_20260502_204532_run00026.txt</t>
  </si>
  <si>
    <t>02-May-2026 20:45:32</t>
  </si>
  <si>
    <t>16QAM_SNR20.0_TDL-C_NHARQ4_rvSeq[0231]_2x2_20260502_205224_run00096.txt</t>
  </si>
  <si>
    <t>02-May-2026 20:52:24</t>
  </si>
  <si>
    <t>16QAM_SNR20.0_TDL-C_NHARQ8_rvSeq[0231]_2x2_20260503_003111_run00166.txt</t>
  </si>
  <si>
    <t>03-May-2026 00:31:11</t>
  </si>
  <si>
    <t>16QAM_SNR22.0_TDL-C_NHARQ1_rvSeq[0231]_2x2_20260502_202444_run00027.txt</t>
  </si>
  <si>
    <t>02-May-2026 20:24:44</t>
  </si>
  <si>
    <t>16QAM_SNR22.0_TDL-C_NHARQ4_rvSeq[0231]_2x2_20260502_203218_run00097.txt</t>
  </si>
  <si>
    <t>02-May-2026 20:32:18</t>
  </si>
  <si>
    <t>16QAM_SNR22.0_TDL-C_NHARQ8_rvSeq[0231]_2x2_20260503_001154_run00167.txt</t>
  </si>
  <si>
    <t>03-May-2026 00:11:54</t>
  </si>
  <si>
    <t>16QAM_SNR24.0_TDL-C_NHARQ1_rvSeq[0231]_2x2_20260502_200352_run00028.txt</t>
  </si>
  <si>
    <t>02-May-2026 20:03:52</t>
  </si>
  <si>
    <t>16QAM_SNR24.0_TDL-C_NHARQ4_rvSeq[0231]_2x2_20260502_201131_run00098.txt</t>
  </si>
  <si>
    <t>02-May-2026 20:11:31</t>
  </si>
  <si>
    <t>16QAM_SNR24.0_TDL-C_NHARQ8_rvSeq[0231]_2x2_20260502_235247_run00168.txt</t>
  </si>
  <si>
    <t>02-May-2026 23:52:47</t>
  </si>
  <si>
    <t>16QAM_SNR4.0_TDL-C_NHARQ16_rvSeq[0231]_2x2_20260503_174352_run00021.txt</t>
  </si>
  <si>
    <t>03-May-2026 17:43:52</t>
  </si>
  <si>
    <t>16QAM_SNR4.0_TDL-C_NHARQ1_rvSeq[0231]_2x2_20260502_184532_run00017.txt</t>
  </si>
  <si>
    <t>02-May-2026 18:45:32</t>
  </si>
  <si>
    <t>16QAM_SNR4.0_TDL-C_NHARQ1_rvSeq[0231]_2x2_20260503_171942_run00003.txt</t>
  </si>
  <si>
    <t>16QAM_SNR4.0_TDL-C_NHARQ4_rvSeq[0231]_2x2_20260502_200945_run00087.txt</t>
  </si>
  <si>
    <t>02-May-2026 20:09:45</t>
  </si>
  <si>
    <t>16QAM_SNR4.0_TDL-C_NHARQ4_rvSeq[0231]_2x2_20260503_173218_run00012.txt</t>
  </si>
  <si>
    <t>03-May-2026 17:32:18</t>
  </si>
  <si>
    <t>16QAM_SNR4.0_TDL-C_NHARQ8_rvSeq[0231]_2x2_20260503_030410_run00157.txt</t>
  </si>
  <si>
    <t>03-May-2026 03:04:10</t>
  </si>
  <si>
    <t>16QAM_SNR6.0_TDL-C_NHARQ16_rvSeq[0231]_2x2_20260503_173153_run00022.txt</t>
  </si>
  <si>
    <t>03-May-2026 17:31:53</t>
  </si>
  <si>
    <t>16QAM_SNR6.0_TDL-C_NHARQ1_rvSeq[0231]_2x2_20260502_181935_run00018.txt</t>
  </si>
  <si>
    <t>16QAM_SNR6.0_TDL-C_NHARQ1_rvSeq[0231]_2x2_20260503_171942_run00004.txt</t>
  </si>
  <si>
    <t>16QAM_SNR6.0_TDL-C_NHARQ4_rvSeq[0231]_2x2_20260502_194555_run00088.txt</t>
  </si>
  <si>
    <t>02-May-2026 19:45:55</t>
  </si>
  <si>
    <t>16QAM_SNR6.0_TDL-C_NHARQ4_rvSeq[0231]_2x2_20260503_174406_run00013.txt</t>
  </si>
  <si>
    <t>03-May-2026 17:44:06</t>
  </si>
  <si>
    <t>16QAM_SNR6.0_TDL-C_NHARQ8_rvSeq[0231]_2x2_20260503_024310_run00158.txt</t>
  </si>
  <si>
    <t>03-May-2026 02:43:10</t>
  </si>
  <si>
    <t>16QAM_SNR8.0_TDL-C_NHARQ16_rvSeq[0231]_2x2_20260503_174330_run00023.txt</t>
  </si>
  <si>
    <t>03-May-2026 17:43:30</t>
  </si>
  <si>
    <t>16QAM_SNR8.0_TDL-C_NHARQ1_rvSeq[0231]_2x2_20260502_184501_run00019.txt</t>
  </si>
  <si>
    <t>02-May-2026 18:45:01</t>
  </si>
  <si>
    <t>16QAM_SNR8.0_TDL-C_NHARQ1_rvSeq[0231]_2x2_20260503_171942_run00005.txt</t>
  </si>
  <si>
    <t>16QAM_SNR8.0_TDL-C_NHARQ4_rvSeq[0231]_2x2_20260502_192406_run00089.txt</t>
  </si>
  <si>
    <t>02-May-2026 19:24:06</t>
  </si>
  <si>
    <t>16QAM_SNR8.0_TDL-C_NHARQ4_rvSeq[0231]_2x2_20260503_173214_run00014.txt</t>
  </si>
  <si>
    <t>16QAM_SNR8.0_TDL-C_NHARQ8_rvSeq[0231]_2x2_20260503_022222_run00159.txt</t>
  </si>
  <si>
    <t>03-May-2026 02:22:22</t>
  </si>
  <si>
    <t>256QAM_SNR0.0_TDL-C_NHARQ1_rvSeq[0231]_2x2_20260503_001844_run00043.txt</t>
  </si>
  <si>
    <t>03-May-2026 00:18:44</t>
  </si>
  <si>
    <t>256QAM</t>
  </si>
  <si>
    <t>256QAM_SNR0.0_TDL-C_NHARQ4_rvSeq[0231]_2x2_20260503_002723_run00113.txt</t>
  </si>
  <si>
    <t>03-May-2026 00:27:23</t>
  </si>
  <si>
    <t>256QAM_SNR0.0_TDL-C_NHARQ8_rvSeq[0231]_2x2_20260503_015542_run00183.txt</t>
  </si>
  <si>
    <t>03-May-2026 01:55:42</t>
  </si>
  <si>
    <t>256QAM_SNR10.0_TDL-C_NHARQ1_rvSeq[0231]_2x2_20260502_203449_run00048.txt</t>
  </si>
  <si>
    <t>02-May-2026 20:34:49</t>
  </si>
  <si>
    <t>256QAM_SNR10.0_TDL-C_NHARQ1_rvSeq[0231]_2x2_20260503_035035_run00053.txt</t>
  </si>
  <si>
    <t>03-May-2026 03:50:35</t>
  </si>
  <si>
    <t>256QAM_SNR10.0_TDL-C_NHARQ4_rvSeq[0231]_2x2_20260502_204243_run00118.txt</t>
  </si>
  <si>
    <t>02-May-2026 20:42:43</t>
  </si>
  <si>
    <t>256QAM_SNR10.0_TDL-C_NHARQ4_rvSeq[0231]_2x2_20260502_232537_run00123.txt</t>
  </si>
  <si>
    <t>02-May-2026 23:25:37</t>
  </si>
  <si>
    <t>256QAM_SNR10.0_TDL-C_NHARQ8_rvSeq[0231]_2x2_20260503_020233_run00188.txt</t>
  </si>
  <si>
    <t>03-May-2026 02:02:33</t>
  </si>
  <si>
    <t>256QAM_SNR10.0_TDL-C_NHARQ8_rvSeq[0231]_2x2_20260503_031221_run00193.txt</t>
  </si>
  <si>
    <t>03-May-2026 03:12:21</t>
  </si>
  <si>
    <t>256QAM_SNR12.0_TDL-C_NHARQ1_rvSeq[0231]_2x2_20260502_194745_run00049.txt</t>
  </si>
  <si>
    <t>02-May-2026 19:47:45</t>
  </si>
  <si>
    <t>256QAM_SNR12.0_TDL-C_NHARQ4_rvSeq[0231]_2x2_20260502_195524_run00119.txt</t>
  </si>
  <si>
    <t>02-May-2026 19:55:24</t>
  </si>
  <si>
    <t>256QAM_SNR12.0_TDL-C_NHARQ8_rvSeq[0231]_2x2_20260503_032257_run00189.txt</t>
  </si>
  <si>
    <t>03-May-2026 03:22:57</t>
  </si>
  <si>
    <t>256QAM_SNR14.0_TDL-C_NHARQ1_rvSeq[0231]_2x2_20260502_190256_run00050.txt</t>
  </si>
  <si>
    <t>02-May-2026 19:02:56</t>
  </si>
  <si>
    <t>256QAM_SNR14.0_TDL-C_NHARQ4_rvSeq[0231]_2x2_20260502_191009_run00120.txt</t>
  </si>
  <si>
    <t>02-May-2026 19:10:09</t>
  </si>
  <si>
    <t>256QAM_SNR14.0_TDL-C_NHARQ8_rvSeq[0231]_2x2_20260503_024008_run00190.txt</t>
  </si>
  <si>
    <t>03-May-2026 02:40:08</t>
  </si>
  <si>
    <t>256QAM_SNR16.0_TDL-C_NHARQ1_rvSeq[0231]_2x2_20260503_051150_run00051.txt</t>
  </si>
  <si>
    <t>03-May-2026 05:11:50</t>
  </si>
  <si>
    <t>256QAM_SNR16.0_TDL-C_NHARQ4_rvSeq[0231]_2x2_20260503_005139_run00121.txt</t>
  </si>
  <si>
    <t>03-May-2026 00:51:39</t>
  </si>
  <si>
    <t>256QAM_SNR16.0_TDL-C_NHARQ8_rvSeq[0231]_2x2_20260503_030539_run00191.txt</t>
  </si>
  <si>
    <t>03-May-2026 03:05:39</t>
  </si>
  <si>
    <t>256QAM_SNR18.0_TDL-C_NHARQ1_rvSeq[0231]_2x2_20260503_043203_run00052.txt</t>
  </si>
  <si>
    <t>03-May-2026 04:32:03</t>
  </si>
  <si>
    <t>256QAM_SNR18.0_TDL-C_NHARQ4_rvSeq[0231]_2x2_20260503_000911_run00122.txt</t>
  </si>
  <si>
    <t>03-May-2026 00:09:11</t>
  </si>
  <si>
    <t>256QAM_SNR18.0_TDL-C_NHARQ8_rvSeq[0231]_2x2_20260503_022336_run00192.txt</t>
  </si>
  <si>
    <t>03-May-2026 02:23:36</t>
  </si>
  <si>
    <t>256QAM_SNR2.0_TDL-C_NHARQ1_rvSeq[0231]_2x2_20260502_233417_run00044.txt</t>
  </si>
  <si>
    <t>02-May-2026 23:34:18</t>
  </si>
  <si>
    <t>256QAM_SNR2.0_TDL-C_NHARQ4_rvSeq[0231]_2x2_20260502_234231_run00114.txt</t>
  </si>
  <si>
    <t>02-May-2026 23:42:31</t>
  </si>
  <si>
    <t>256QAM_SNR2.0_TDL-C_NHARQ8_rvSeq[0231]_2x2_20260503_011115_run00184.txt</t>
  </si>
  <si>
    <t>03-May-2026 01:11:15</t>
  </si>
  <si>
    <t>256QAM_SNR20.0_TDL-C_NHARQ1_rvSeq[0231]_2x2_20260503_030951_run00054.txt</t>
  </si>
  <si>
    <t>03-May-2026 03:09:51</t>
  </si>
  <si>
    <t>256QAM_SNR20.0_TDL-C_NHARQ4_rvSeq[0231]_2x2_20260502_224431_run00124.txt</t>
  </si>
  <si>
    <t>02-May-2026 22:44:31</t>
  </si>
  <si>
    <t>256QAM_SNR20.0_TDL-C_NHARQ8_rvSeq[0231]_2x2_20260503_023057_run00194.txt</t>
  </si>
  <si>
    <t>03-May-2026 02:30:57</t>
  </si>
  <si>
    <t>256QAM_SNR22.0_TDL-C_NHARQ1_rvSeq[0231]_2x2_20260503_022836_run00055.txt</t>
  </si>
  <si>
    <t>03-May-2026 02:28:36</t>
  </si>
  <si>
    <t>256QAM_SNR22.0_TDL-C_NHARQ4_rvSeq[0231]_2x2_20260502_220308_run00125.txt</t>
  </si>
  <si>
    <t>02-May-2026 22:03:08</t>
  </si>
  <si>
    <t>256QAM_SNR22.0_TDL-C_NHARQ8_rvSeq[0231]_2x2_20260503_035254_run00195.txt</t>
  </si>
  <si>
    <t>03-May-2026 03:52:54</t>
  </si>
  <si>
    <t>256QAM_SNR24.0_TDL-C_NHARQ1_rvSeq[0231]_2x2_20260503_014721_run00056.txt</t>
  </si>
  <si>
    <t>03-May-2026 01:47:21</t>
  </si>
  <si>
    <t>256QAM_SNR24.0_TDL-C_NHARQ4_rvSeq[0231]_2x2_20260503_160714_run00126.txt</t>
  </si>
  <si>
    <t>03-May-2026 16:07:14</t>
  </si>
  <si>
    <t>256QAM_SNR24.0_TDL-C_NHARQ8_rvSeq[0231]_2x2_20260503_031246_run00196.txt</t>
  </si>
  <si>
    <t>03-May-2026 03:12:46</t>
  </si>
  <si>
    <t>256QAM_SNR4.0_TDL-C_NHARQ1_rvSeq[0231]_2x2_20260502_225022_run00045.txt</t>
  </si>
  <si>
    <t>02-May-2026 22:50:22</t>
  </si>
  <si>
    <t>256QAM_SNR4.0_TDL-C_NHARQ4_rvSeq[0231]_2x2_20260502_225820_run00115.txt</t>
  </si>
  <si>
    <t>02-May-2026 22:58:20</t>
  </si>
  <si>
    <t>256QAM_SNR4.0_TDL-C_NHARQ8_rvSeq[0231]_2x2_20260503_022815_run00185.txt</t>
  </si>
  <si>
    <t>03-May-2026 02:28:15</t>
  </si>
  <si>
    <t>256QAM_SNR6.0_TDL-C_NHARQ1_rvSeq[0231]_2x2_20260502_220540_run00046.txt</t>
  </si>
  <si>
    <t>02-May-2026 22:05:40</t>
  </si>
  <si>
    <t>256QAM_SNR6.0_TDL-C_NHARQ4_rvSeq[0231]_2x2_20260502_221337_run00116.txt</t>
  </si>
  <si>
    <t>02-May-2026 22:13:37</t>
  </si>
  <si>
    <t>256QAM_SNR6.0_TDL-C_NHARQ8_rvSeq[0231]_2x2_20260503_014321_run00186.txt</t>
  </si>
  <si>
    <t>03-May-2026 01:43:21</t>
  </si>
  <si>
    <t>256QAM_SNR8.0_TDL-C_NHARQ1_rvSeq[0231]_2x2_20260502_212005_run00047.txt</t>
  </si>
  <si>
    <t>02-May-2026 21:20:05</t>
  </si>
  <si>
    <t>256QAM_SNR8.0_TDL-C_NHARQ4_rvSeq[0231]_2x2_20260502_212751_run00117.txt</t>
  </si>
  <si>
    <t>02-May-2026 21:27:51</t>
  </si>
  <si>
    <t>256QAM_SNR8.0_TDL-C_NHARQ8_rvSeq[0231]_2x2_20260503_024627_run00187.txt</t>
  </si>
  <si>
    <t>03-May-2026 02:46:27</t>
  </si>
  <si>
    <t>64QAM_SNR0.0_TDL-C_NHARQ16_rvSeq[0231]_2x2_20260503_181035_run00046.txt</t>
  </si>
  <si>
    <t>03-May-2026 18:10:35</t>
  </si>
  <si>
    <t>64QAM</t>
  </si>
  <si>
    <t>64QAM_SNR0.0_TDL-C_NHARQ1_rvSeq[0231]_2x2_20260502_193308_run00029.txt</t>
  </si>
  <si>
    <t>02-May-2026 19:33:08</t>
  </si>
  <si>
    <t>64QAM_SNR0.0_TDL-C_NHARQ1_rvSeq[0231]_2x2_20260503_173123_run00028.txt</t>
  </si>
  <si>
    <t>03-May-2026 17:31:23</t>
  </si>
  <si>
    <t>64QAM_SNR0.0_TDL-C_NHARQ4_rvSeq[0231]_2x2_20260502_194018_run00099.txt</t>
  </si>
  <si>
    <t>02-May-2026 19:40:18</t>
  </si>
  <si>
    <t>64QAM_SNR0.0_TDL-C_NHARQ4_rvSeq[0231]_2x2_20260503_175535_run00037.txt</t>
  </si>
  <si>
    <t>03-May-2026 17:55:36</t>
  </si>
  <si>
    <t>64QAM_SNR0.0_TDL-C_NHARQ8_rvSeq[0231]_2x2_20260502_232421_run00169.txt</t>
  </si>
  <si>
    <t>02-May-2026 23:24:21</t>
  </si>
  <si>
    <t>64QAM_SNR10.0_TDL-C_NHARQ16_rvSeq[0231]_2x2_20260503_182231_run00051.txt</t>
  </si>
  <si>
    <t>03-May-2026 18:22:31</t>
  </si>
  <si>
    <t>64QAM_SNR10.0_TDL-C_NHARQ1_rvSeq[0231]_2x2_20260502_193001_run00039.txt</t>
  </si>
  <si>
    <t>02-May-2026 19:30:01</t>
  </si>
  <si>
    <t>64QAM_SNR10.0_TDL-C_NHARQ1_rvSeq[0231]_2x2_20260502_215106_run00034.txt</t>
  </si>
  <si>
    <t>02-May-2026 21:51:06</t>
  </si>
  <si>
    <t>64QAM_SNR10.0_TDL-C_NHARQ1_rvSeq[0231]_2x2_20260503_175517_run00033.txt</t>
  </si>
  <si>
    <t>03-May-2026 17:55:18</t>
  </si>
  <si>
    <t>64QAM_SNR10.0_TDL-C_NHARQ4_rvSeq[0231]_2x2_20260502_193655_run00109.txt</t>
  </si>
  <si>
    <t>02-May-2026 19:36:55</t>
  </si>
  <si>
    <t>64QAM_SNR10.0_TDL-C_NHARQ4_rvSeq[0231]_2x2_20260502_215859_run00104.txt</t>
  </si>
  <si>
    <t>02-May-2026 21:58:59</t>
  </si>
  <si>
    <t>64QAM_SNR10.0_TDL-C_NHARQ4_rvSeq[0231]_2x2_20260503_180829_run00042.txt</t>
  </si>
  <si>
    <t>03-May-2026 18:08:29</t>
  </si>
  <si>
    <t>64QAM_SNR10.0_TDL-C_NHARQ8_rvSeq[0231]_2x2_20260503_013446_run00179.txt</t>
  </si>
  <si>
    <t>03-May-2026 01:34:46</t>
  </si>
  <si>
    <t>64QAM_SNR10.0_TDL-C_NHARQ8_rvSeq[0231]_2x2_20260503_062712_run00174.txt</t>
  </si>
  <si>
    <t>03-May-2026 06:27:12</t>
  </si>
  <si>
    <t>64QAM_SNR12.0_TDL-C_NHARQ16_rvSeq[0231]_2x2_20260503_182312_run00052.txt</t>
  </si>
  <si>
    <t>03-May-2026 18:23:12</t>
  </si>
  <si>
    <t>64QAM_SNR12.0_TDL-C_NHARQ1_rvSeq[0231]_2x2_20260502_212304_run00035.txt</t>
  </si>
  <si>
    <t>02-May-2026 21:23:05</t>
  </si>
  <si>
    <t>64QAM_SNR12.0_TDL-C_NHARQ1_rvSeq[0231]_2x2_20260503_175553_run00034.txt</t>
  </si>
  <si>
    <t>03-May-2026 17:55:53</t>
  </si>
  <si>
    <t>64QAM_SNR12.0_TDL-C_NHARQ4_rvSeq[0231]_2x2_20260502_213047_run00105.txt</t>
  </si>
  <si>
    <t>02-May-2026 21:30:47</t>
  </si>
  <si>
    <t>64QAM_SNR12.0_TDL-C_NHARQ4_rvSeq[0231]_2x2_20260503_180939_run00043.txt</t>
  </si>
  <si>
    <t>03-May-2026 18:09:39</t>
  </si>
  <si>
    <t>64QAM_SNR12.0_TDL-C_NHARQ8_rvSeq[0231]_2x2_20260503_004353_run00175.txt</t>
  </si>
  <si>
    <t>03-May-2026 00:43:53</t>
  </si>
  <si>
    <t>64QAM_SNR14.0_TDL-C_NHARQ16_rvSeq[0231]_2x2_20260503_182329_run00053.txt</t>
  </si>
  <si>
    <t>03-May-2026 18:23:29</t>
  </si>
  <si>
    <t>64QAM_SNR14.0_TDL-C_NHARQ1_rvSeq[0231]_2x2_20260502_205529_run00036.txt</t>
  </si>
  <si>
    <t>02-May-2026 20:55:29</t>
  </si>
  <si>
    <t>64QAM_SNR14.0_TDL-C_NHARQ1_rvSeq[0231]_2x2_20260503_175618_run00035.txt</t>
  </si>
  <si>
    <t>03-May-2026 17:56:18</t>
  </si>
  <si>
    <t>64QAM_SNR14.0_TDL-C_NHARQ4_rvSeq[0231]_2x2_20260502_210312_run00106.txt</t>
  </si>
  <si>
    <t>02-May-2026 21:03:12</t>
  </si>
  <si>
    <t>64QAM_SNR14.0_TDL-C_NHARQ4_rvSeq[0231]_2x2_20260503_181022_run00044.txt</t>
  </si>
  <si>
    <t>03-May-2026 18:10:22</t>
  </si>
  <si>
    <t>64QAM_SNR14.0_TDL-C_NHARQ8_rvSeq[0231]_2x2_20260503_001641_run00176.txt</t>
  </si>
  <si>
    <t>03-May-2026 00:16:41</t>
  </si>
  <si>
    <t>64QAM_SNR16.0_TDL-C_NHARQ16_rvSeq[0231]_2x2_20260503_182320_run00054.txt</t>
  </si>
  <si>
    <t>03-May-2026 18:23:20</t>
  </si>
  <si>
    <t>64QAM_SNR16.0_TDL-C_NHARQ1_rvSeq[0231]_2x2_20260502_202747_run00037.txt</t>
  </si>
  <si>
    <t>02-May-2026 20:27:47</t>
  </si>
  <si>
    <t>64QAM_SNR16.0_TDL-C_NHARQ1_rvSeq[0231]_2x2_20260503_175444_run00036.txt</t>
  </si>
  <si>
    <t>03-May-2026 17:54:44</t>
  </si>
  <si>
    <t>64QAM_SNR16.0_TDL-C_NHARQ4_rvSeq[0231]_2x2_20260502_203553_run00107.txt</t>
  </si>
  <si>
    <t>02-May-2026 20:35:53</t>
  </si>
  <si>
    <t>64QAM_SNR16.0_TDL-C_NHARQ4_rvSeq[0231]_2x2_20260503_180958_run00045.txt</t>
  </si>
  <si>
    <t>03-May-2026 18:09:58</t>
  </si>
  <si>
    <t>64QAM_SNR16.0_TDL-C_NHARQ8_rvSeq[0231]_2x2_20260503_011639_run00177.txt</t>
  </si>
  <si>
    <t>03-May-2026 01:16:39</t>
  </si>
  <si>
    <t>64QAM_SNR18.0_TDL-C_NHARQ1_rvSeq[0231]_2x2_20260502_195920_run00038.txt</t>
  </si>
  <si>
    <t>02-May-2026 19:59:20</t>
  </si>
  <si>
    <t>64QAM_SNR18.0_TDL-C_NHARQ4_rvSeq[0231]_2x2_20260502_200718_run00108.txt</t>
  </si>
  <si>
    <t>02-May-2026 20:07:18</t>
  </si>
  <si>
    <t>64QAM_SNR18.0_TDL-C_NHARQ8_rvSeq[0231]_2x2_20260503_005039_run00178.txt</t>
  </si>
  <si>
    <t>03-May-2026 00:50:39</t>
  </si>
  <si>
    <t>64QAM_SNR2.0_TDL-C_NHARQ16_rvSeq[0231]_2x2_20260503_181016_run00047.txt</t>
  </si>
  <si>
    <t>03-May-2026 18:10:16</t>
  </si>
  <si>
    <t>64QAM_SNR2.0_TDL-C_NHARQ1_rvSeq[0231]_2x2_20260502_190414_run00030.txt</t>
  </si>
  <si>
    <t>02-May-2026 19:04:14</t>
  </si>
  <si>
    <t>64QAM_SNR2.0_TDL-C_NHARQ1_rvSeq[0231]_2x2_20260503_174758_run00029.txt</t>
  </si>
  <si>
    <t>03-May-2026 17:47:58</t>
  </si>
  <si>
    <t>64QAM_SNR2.0_TDL-C_NHARQ4_rvSeq[0231]_2x2_20260502_191118_run00100.txt</t>
  </si>
  <si>
    <t>02-May-2026 19:11:19</t>
  </si>
  <si>
    <t>64QAM_SNR2.0_TDL-C_NHARQ4_rvSeq[0231]_2x2_20260503_175600_run00038.txt</t>
  </si>
  <si>
    <t>03-May-2026 17:56:00</t>
  </si>
  <si>
    <t>64QAM_SNR2.0_TDL-C_NHARQ8_rvSeq[0231]_2x2_20260502_225556_run00170.txt</t>
  </si>
  <si>
    <t>02-May-2026 22:55:56</t>
  </si>
  <si>
    <t>64QAM_SNR20.0_TDL-C_NHARQ1_rvSeq[0231]_2x2_20260502_190339_run00040.txt</t>
  </si>
  <si>
    <t>02-May-2026 19:03:39</t>
  </si>
  <si>
    <t>64QAM_SNR20.0_TDL-C_NHARQ4_rvSeq[0231]_2x2_20260502_191101_run00110.txt</t>
  </si>
  <si>
    <t>02-May-2026 19:11:02</t>
  </si>
  <si>
    <t>64QAM_SNR20.0_TDL-C_NHARQ8_rvSeq[0231]_2x2_20260503_010917_run00180.txt</t>
  </si>
  <si>
    <t>03-May-2026 01:09:17</t>
  </si>
  <si>
    <t>64QAM_SNR22.0_TDL-C_NHARQ1_rvSeq[0231]_2x2_20260503_012704_run00041.txt</t>
  </si>
  <si>
    <t>03-May-2026 01:27:04</t>
  </si>
  <si>
    <t>64QAM_SNR22.0_TDL-C_NHARQ4_rvSeq[0231]_2x2_20260503_013630_run00111.txt</t>
  </si>
  <si>
    <t>03-May-2026 01:36:30</t>
  </si>
  <si>
    <t>64QAM_SNR22.0_TDL-C_NHARQ8_rvSeq[0231]_2x2_20260503_015821_run00181.txt</t>
  </si>
  <si>
    <t>03-May-2026 01:58:21</t>
  </si>
  <si>
    <t>64QAM_SNR24.0_TDL-C_NHARQ1_rvSeq[0231]_2x2_20260503_010253_run00042.txt</t>
  </si>
  <si>
    <t>03-May-2026 01:02:53</t>
  </si>
  <si>
    <t>64QAM_SNR24.0_TDL-C_NHARQ4_rvSeq[0231]_2x2_20260503_011157_run00112.txt</t>
  </si>
  <si>
    <t>03-May-2026 01:11:57</t>
  </si>
  <si>
    <t>64QAM_SNR24.0_TDL-C_NHARQ8_rvSeq[0231]_2x2_20260503_013334_run00182.txt</t>
  </si>
  <si>
    <t>03-May-2026 01:33:34</t>
  </si>
  <si>
    <t>64QAM_SNR4.0_TDL-C_NHARQ16_rvSeq[0231]_2x2_20260503_181057_run00048.txt</t>
  </si>
  <si>
    <t>03-May-2026 18:10:57</t>
  </si>
  <si>
    <t>64QAM_SNR4.0_TDL-C_NHARQ1_rvSeq[0231]_2x2_20260502_231525_run00031.txt</t>
  </si>
  <si>
    <t>02-May-2026 23:15:25</t>
  </si>
  <si>
    <t>64QAM_SNR4.0_TDL-C_NHARQ1_rvSeq[0231]_2x2_20260503_173217_run00030.txt</t>
  </si>
  <si>
    <t>03-May-2026 17:32:17</t>
  </si>
  <si>
    <t>64QAM_SNR4.0_TDL-C_NHARQ4_rvSeq[0231]_2x2_20260502_232308_run00101.txt</t>
  </si>
  <si>
    <t>02-May-2026 23:23:08</t>
  </si>
  <si>
    <t>64QAM_SNR4.0_TDL-C_NHARQ4_rvSeq[0231]_2x2_20260503_180303_run00039.txt</t>
  </si>
  <si>
    <t>03-May-2026 18:03:03</t>
  </si>
  <si>
    <t>64QAM_SNR4.0_TDL-C_NHARQ8_rvSeq[0231]_2x2_20260503_020237_run00171.txt</t>
  </si>
  <si>
    <t>03-May-2026 02:02:37</t>
  </si>
  <si>
    <t>64QAM_SNR6.0_TDL-C_NHARQ16_rvSeq[0231]_2x2_20260503_181137_run00049.txt</t>
  </si>
  <si>
    <t>03-May-2026 18:11:38</t>
  </si>
  <si>
    <t>64QAM_SNR6.0_TDL-C_NHARQ1_rvSeq[0231]_2x2_20260502_224734_run00032.txt</t>
  </si>
  <si>
    <t>02-May-2026 22:47:34</t>
  </si>
  <si>
    <t>64QAM_SNR6.0_TDL-C_NHARQ1_rvSeq[0231]_2x2_20260503_175737_run00031.txt</t>
  </si>
  <si>
    <t>03-May-2026 17:57:38</t>
  </si>
  <si>
    <t>64QAM_SNR6.0_TDL-C_NHARQ4_rvSeq[0231]_2x2_20260502_225505_run00102.txt</t>
  </si>
  <si>
    <t>02-May-2026 22:55:05</t>
  </si>
  <si>
    <t>64QAM_SNR6.0_TDL-C_NHARQ4_rvSeq[0231]_2x2_20260503_175625_run00040.txt</t>
  </si>
  <si>
    <t>03-May-2026 17:56:25</t>
  </si>
  <si>
    <t>64QAM_SNR6.0_TDL-C_NHARQ8_rvSeq[0231]_2x2_20260503_013419_run00172.txt</t>
  </si>
  <si>
    <t>03-May-2026 01:34:19</t>
  </si>
  <si>
    <t>64QAM_SNR8.0_TDL-C_NHARQ16_rvSeq[0231]_2x2_20260503_181727_run00050.txt</t>
  </si>
  <si>
    <t>03-May-2026 18:17:27</t>
  </si>
  <si>
    <t>64QAM_SNR8.0_TDL-C_NHARQ1_rvSeq[0231]_2x2_20260502_221933_run00033.txt</t>
  </si>
  <si>
    <t>02-May-2026 22:19:33</t>
  </si>
  <si>
    <t>64QAM_SNR8.0_TDL-C_NHARQ1_rvSeq[0231]_2x2_20260503_175432_run00032.txt</t>
  </si>
  <si>
    <t>03-May-2026 17:54:32</t>
  </si>
  <si>
    <t>64QAM_SNR8.0_TDL-C_NHARQ4_rvSeq[0231]_2x2_20260502_222718_run00103.txt</t>
  </si>
  <si>
    <t>02-May-2026 22:27:18</t>
  </si>
  <si>
    <t>64QAM_SNR8.0_TDL-C_NHARQ4_rvSeq[0231]_2x2_20260503_180902_run00041.txt</t>
  </si>
  <si>
    <t>03-May-2026 18:09:02</t>
  </si>
  <si>
    <t>64QAM_SNR8.0_TDL-C_NHARQ8_rvSeq[0231]_2x2_20260503_065227_run00173.txt</t>
  </si>
  <si>
    <t>03-May-2026 06:52:27</t>
  </si>
  <si>
    <t>QPSK_SNR0.0_TDL-C_NHARQ1_rvSeq[0231]_2x2_20260502_184146_run00001.txt</t>
  </si>
  <si>
    <t>02-May-2026 18:41:46</t>
  </si>
  <si>
    <t>QPSK</t>
  </si>
  <si>
    <t>QPSK_SNR0.0_TDL-C_NHARQ4_rvSeq[0231]_2x2_20260502_214434_run00071.txt</t>
  </si>
  <si>
    <t>02-May-2026 21:44:34</t>
  </si>
  <si>
    <t>QPSK_SNR0.0_TDL-C_NHARQ8_rvSeq[0231]_2x2_20260503_030218_run00141.txt</t>
  </si>
  <si>
    <t>03-May-2026 03:02:18</t>
  </si>
  <si>
    <t>QPSK_SNR10.0_TDL-C_NHARQ1_rvSeq[0231]_2x2_20260502_181935_run00006.txt</t>
  </si>
  <si>
    <t>QPSK_SNR10.0_TDL-C_NHARQ1_rvSeq[0231]_2x2_20260502_184013_run00011.txt</t>
  </si>
  <si>
    <t>02-May-2026 18:40:13</t>
  </si>
  <si>
    <t>QPSK_SNR10.0_TDL-C_NHARQ4_rvSeq[0231]_2x2_20260502_201258_run00076.txt</t>
  </si>
  <si>
    <t>02-May-2026 20:12:58</t>
  </si>
  <si>
    <t>QPSK_SNR10.0_TDL-C_NHARQ4_rvSeq[0231]_2x2_20260502_220924_run00081.txt</t>
  </si>
  <si>
    <t>02-May-2026 22:09:24</t>
  </si>
  <si>
    <t>QPSK_SNR10.0_TDL-C_NHARQ8_rvSeq[0231]_2x2_20260502_235859_run00151.txt</t>
  </si>
  <si>
    <t>02-May-2026 23:58:59</t>
  </si>
  <si>
    <t>QPSK_SNR10.0_TDL-C_NHARQ8_rvSeq[0231]_2x2_20260503_005202_run00146.txt</t>
  </si>
  <si>
    <t>03-May-2026 00:52:02</t>
  </si>
  <si>
    <t>QPSK_SNR12.0_TDL-C_NHARQ1_rvSeq[0231]_2x2_20260502_184040_run00007.txt</t>
  </si>
  <si>
    <t>02-May-2026 18:40:40</t>
  </si>
  <si>
    <t>QPSK_SNR12.0_TDL-C_NHARQ4_rvSeq[0231]_2x2_20260502_195351_run00077.txt</t>
  </si>
  <si>
    <t>02-May-2026 19:53:51</t>
  </si>
  <si>
    <t>QPSK_SNR12.0_TDL-C_NHARQ8_rvSeq[0231]_2x2_20260503_003440_run00147.txt</t>
  </si>
  <si>
    <t>03-May-2026 00:34:40</t>
  </si>
  <si>
    <t>QPSK_SNR14.0_TDL-C_NHARQ1_rvSeq[0231]_2x2_20260502_181935_run00008.txt</t>
  </si>
  <si>
    <t>QPSK_SNR14.0_TDL-C_NHARQ4_rvSeq[0231]_2x2_20260502_193503_run00078.txt</t>
  </si>
  <si>
    <t>02-May-2026 19:35:03</t>
  </si>
  <si>
    <t>QPSK_SNR14.0_TDL-C_NHARQ8_rvSeq[0231]_2x2_20260503_001729_run00148.txt</t>
  </si>
  <si>
    <t>03-May-2026 00:17:29</t>
  </si>
  <si>
    <t>QPSK_SNR16.0_TDL-C_NHARQ1_rvSeq[0231]_2x2_20260502_184014_run00009.txt</t>
  </si>
  <si>
    <t>02-May-2026 18:40:14</t>
  </si>
  <si>
    <t>QPSK_SNR16.0_TDL-C_NHARQ4_rvSeq[0231]_2x2_20260502_191825_run00079.txt</t>
  </si>
  <si>
    <t>02-May-2026 19:18:25</t>
  </si>
  <si>
    <t>QPSK_SNR16.0_TDL-C_NHARQ8_rvSeq[0231]_2x2_20260503_000020_run00149.txt</t>
  </si>
  <si>
    <t>03-May-2026 00:00:20</t>
  </si>
  <si>
    <t>QPSK_SNR18.0_TDL-C_NHARQ1_rvSeq[0231]_2x2_20260502_181935_run00010.txt</t>
  </si>
  <si>
    <t>QPSK_SNR18.0_TDL-C_NHARQ4_rvSeq[0231]_2x2_20260502_190049_run00080.txt</t>
  </si>
  <si>
    <t>02-May-2026 19:00:49</t>
  </si>
  <si>
    <t>QPSK_SNR18.0_TDL-C_NHARQ8_rvSeq[0231]_2x2_20260502_234327_run00150.txt</t>
  </si>
  <si>
    <t>02-May-2026 23:43:27</t>
  </si>
  <si>
    <t>QPSK_SNR2.0_TDL-C_NHARQ1_rvSeq[0231]_2x2_20260502_181935_run00002.txt</t>
  </si>
  <si>
    <t>QPSK_SNR2.0_TDL-C_NHARQ4_rvSeq[0231]_2x2_20260502_212623_run00072.txt</t>
  </si>
  <si>
    <t>02-May-2026 21:26:23</t>
  </si>
  <si>
    <t>QPSK_SNR2.0_TDL-C_NHARQ8_rvSeq[0231]_2x2_20260503_024432_run00142.txt</t>
  </si>
  <si>
    <t>03-May-2026 02:44:32</t>
  </si>
  <si>
    <t>QPSK_SNR20.0_TDL-C_NHARQ1_rvSeq[0231]_2x2_20260502_181935_run00012.txt</t>
  </si>
  <si>
    <t>QPSK_SNR20.0_TDL-C_NHARQ4_rvSeq[0231]_2x2_20260502_215209_run00082.txt</t>
  </si>
  <si>
    <t>02-May-2026 21:52:09</t>
  </si>
  <si>
    <t>QPSK_SNR20.0_TDL-C_NHARQ8_rvSeq[0231]_2x2_20260502_234216_run00152.txt</t>
  </si>
  <si>
    <t>02-May-2026 23:42:16</t>
  </si>
  <si>
    <t>QPSK_SNR22.0_TDL-C_NHARQ1_rvSeq[0231]_2x2_20260502_183959_run00013.txt</t>
  </si>
  <si>
    <t>02-May-2026 18:40:00</t>
  </si>
  <si>
    <t>QPSK_SNR22.0_TDL-C_NHARQ4_rvSeq[0231]_2x2_20260502_213515_run00083.txt</t>
  </si>
  <si>
    <t>02-May-2026 21:35:15</t>
  </si>
  <si>
    <t>QPSK_SNR22.0_TDL-C_NHARQ8_rvSeq[0231]_2x2_20260502_232609_run00153.txt</t>
  </si>
  <si>
    <t>02-May-2026 23:26:09</t>
  </si>
  <si>
    <t>QPSK_SNR24.0_TDL-C_NHARQ1_rvSeq[0231]_2x2_20260502_181935_run00014.txt</t>
  </si>
  <si>
    <t>QPSK_SNR24.0_TDL-C_NHARQ4_rvSeq[0231]_2x2_20260502_211824_run00084.txt</t>
  </si>
  <si>
    <t>02-May-2026 21:18:24</t>
  </si>
  <si>
    <t>QPSK_SNR24.0_TDL-C_NHARQ8_rvSeq[0231]_2x2_20260502_230955_run00154.txt</t>
  </si>
  <si>
    <t>02-May-2026 23:09:55</t>
  </si>
  <si>
    <t>QPSK_SNR4.0_TDL-C_NHARQ1_rvSeq[0231]_2x2_20260502_184120_run00003.txt</t>
  </si>
  <si>
    <t>02-May-2026 18:41:20</t>
  </si>
  <si>
    <t>QPSK_SNR4.0_TDL-C_NHARQ4_rvSeq[0231]_2x2_20260502_210822_run00073.txt</t>
  </si>
  <si>
    <t>02-May-2026 21:08:22</t>
  </si>
  <si>
    <t>QPSK_SNR4.0_TDL-C_NHARQ8_rvSeq[0231]_2x2_20260503_022658_run00143.txt</t>
  </si>
  <si>
    <t>03-May-2026 02:26:58</t>
  </si>
  <si>
    <t>QPSK_SNR6.0_TDL-C_NHARQ1_rvSeq[0231]_2x2_20260502_181935_run00004.txt</t>
  </si>
  <si>
    <t>QPSK_SNR6.0_TDL-C_NHARQ4_rvSeq[0231]_2x2_20260502_205044_run00074.txt</t>
  </si>
  <si>
    <t>02-May-2026 20:50:44</t>
  </si>
  <si>
    <t>QPSK_SNR6.0_TDL-C_NHARQ8_rvSeq[0231]_2x2_20260503_020924_run00144.txt</t>
  </si>
  <si>
    <t>03-May-2026 02:09:24</t>
  </si>
  <si>
    <t>QPSK_SNR8.0_TDL-C_NHARQ1_rvSeq[0231]_2x2_20260502_184101_run00005.txt</t>
  </si>
  <si>
    <t>02-May-2026 18:41:01</t>
  </si>
  <si>
    <t>QPSK_SNR8.0_TDL-C_NHARQ4_rvSeq[0231]_2x2_20260502_203222_run00075.txt</t>
  </si>
  <si>
    <t>02-May-2026 20:32:22</t>
  </si>
  <si>
    <t>QPSK_SNR8.0_TDL-C_NHARQ8_rvSeq[0231]_2x2_20260503_015201_run00145.txt</t>
  </si>
  <si>
    <t>03-May-2026 01:52:01</t>
  </si>
  <si>
    <t>Retransmission Risk</t>
  </si>
  <si>
    <t>Latency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</si>
</sst>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65"/>
  <sheetViews>
    <sheetView tabSelected="1" topLeftCell="A230" workbookViewId="0">
      <selection activeCell="F2" sqref="F2:F265"/>
    </sheetView>
  </sheetViews>
  <sheetFormatPr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575</v>
      </c>
      <c r="F1" t="s">
        <v>576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</row>
    <row r="2" spans="1:60" x14ac:dyDescent="0.25">
      <c r="A2" t="s">
        <v>58</v>
      </c>
      <c r="B2" t="s">
        <v>59</v>
      </c>
      <c r="C2">
        <v>0</v>
      </c>
      <c r="D2" t="s">
        <v>60</v>
      </c>
      <c r="E2" cm="1">
        <f t="array" ref="E2">_xlfn.SWITCH(D2,"QPSK",0.1,"16QAM",0.25,"64QAM",0.5,"256QAM",0.8,"1024QAM",1,"")</f>
        <v>1</v>
      </c>
      <c r="F2" cm="1">
        <f t="array" ref="F2">_xlfn.SWITCH(D2,"QPSK",0.05,"16QAM",0.15,"64QAM",0.4,"256QAM",0.75,"1024QAM",1,"")</f>
        <v>1</v>
      </c>
      <c r="G2" t="s">
        <v>61</v>
      </c>
      <c r="H2">
        <v>1</v>
      </c>
      <c r="I2" t="s">
        <v>62</v>
      </c>
      <c r="J2">
        <v>2</v>
      </c>
      <c r="K2">
        <v>2</v>
      </c>
      <c r="L2" t="s">
        <v>63</v>
      </c>
      <c r="M2">
        <v>2</v>
      </c>
      <c r="N2">
        <v>0.47849999999999998</v>
      </c>
      <c r="O2">
        <v>0.47620000000000001</v>
      </c>
      <c r="P2">
        <v>10000</v>
      </c>
      <c r="Q2">
        <v>2500</v>
      </c>
      <c r="R2">
        <v>7500</v>
      </c>
      <c r="S2">
        <v>4</v>
      </c>
      <c r="T2">
        <v>3</v>
      </c>
      <c r="W2">
        <v>0</v>
      </c>
      <c r="X2">
        <v>0</v>
      </c>
      <c r="Y2">
        <v>100</v>
      </c>
      <c r="Z2">
        <v>100</v>
      </c>
      <c r="AB2">
        <v>594320000</v>
      </c>
      <c r="AC2">
        <v>0</v>
      </c>
      <c r="AD2">
        <v>594320000</v>
      </c>
      <c r="AE2">
        <v>0</v>
      </c>
      <c r="AG2">
        <v>0</v>
      </c>
      <c r="AH2">
        <v>0</v>
      </c>
      <c r="AI2">
        <v>1</v>
      </c>
      <c r="AJ2">
        <v>4</v>
      </c>
      <c r="AK2">
        <v>0</v>
      </c>
      <c r="AL2">
        <v>0</v>
      </c>
      <c r="AM2">
        <v>0</v>
      </c>
      <c r="AN2">
        <v>0</v>
      </c>
      <c r="AO2">
        <v>30</v>
      </c>
      <c r="AP2">
        <v>21.87</v>
      </c>
      <c r="AQ2">
        <v>0.72</v>
      </c>
      <c r="AR2">
        <v>-5.86</v>
      </c>
      <c r="AS2">
        <v>1.82</v>
      </c>
      <c r="AT2">
        <v>10.050000000000001</v>
      </c>
      <c r="AU2">
        <v>6666.69</v>
      </c>
      <c r="AV2">
        <v>35.81</v>
      </c>
      <c r="AW2">
        <v>24.03</v>
      </c>
      <c r="AX2">
        <v>22.39</v>
      </c>
      <c r="AY2">
        <v>14.52478</v>
      </c>
      <c r="AZ2">
        <v>139.20796799999999</v>
      </c>
      <c r="BA2">
        <v>-16.846836</v>
      </c>
      <c r="BB2">
        <v>2.728145</v>
      </c>
      <c r="BC2">
        <v>16.846836</v>
      </c>
      <c r="BD2">
        <v>22.904418</v>
      </c>
      <c r="BE2">
        <v>239.38722300000001</v>
      </c>
      <c r="BF2">
        <v>-12.931459</v>
      </c>
      <c r="BG2">
        <v>7.3072109999999997</v>
      </c>
      <c r="BH2">
        <v>12.931459</v>
      </c>
    </row>
    <row r="3" spans="1:60" x14ac:dyDescent="0.25">
      <c r="A3" t="s">
        <v>64</v>
      </c>
      <c r="B3" t="s">
        <v>65</v>
      </c>
      <c r="C3">
        <v>0</v>
      </c>
      <c r="D3" t="s">
        <v>60</v>
      </c>
      <c r="E3" cm="1">
        <f t="array" ref="E3">_xlfn.SWITCH(D3,"QPSK",0.1,"16QAM",0.25,"64QAM",0.5,"256QAM",0.8,"1024QAM",1,"")</f>
        <v>1</v>
      </c>
      <c r="F3" cm="1">
        <f t="array" ref="F3">_xlfn.SWITCH(D3,"QPSK",0.05,"16QAM",0.15,"64QAM",0.4,"256QAM",0.75,"1024QAM",1,"")</f>
        <v>1</v>
      </c>
      <c r="G3" t="s">
        <v>61</v>
      </c>
      <c r="H3">
        <v>4</v>
      </c>
      <c r="I3" t="s">
        <v>62</v>
      </c>
      <c r="J3">
        <v>2</v>
      </c>
      <c r="K3">
        <v>2</v>
      </c>
      <c r="L3" t="s">
        <v>63</v>
      </c>
      <c r="M3">
        <v>2</v>
      </c>
      <c r="N3">
        <v>0.47849999999999998</v>
      </c>
      <c r="O3">
        <v>0.47620000000000001</v>
      </c>
      <c r="P3">
        <v>10000</v>
      </c>
      <c r="Q3">
        <v>2500</v>
      </c>
      <c r="R3">
        <v>7500</v>
      </c>
      <c r="S3">
        <v>4</v>
      </c>
      <c r="T3">
        <v>3</v>
      </c>
      <c r="W3">
        <v>0</v>
      </c>
      <c r="X3">
        <v>0</v>
      </c>
      <c r="Y3">
        <v>100</v>
      </c>
      <c r="Z3">
        <v>100</v>
      </c>
      <c r="AB3">
        <v>594320000</v>
      </c>
      <c r="AC3">
        <v>0</v>
      </c>
      <c r="AD3">
        <v>594320000</v>
      </c>
      <c r="AE3">
        <v>0</v>
      </c>
      <c r="AG3">
        <v>0</v>
      </c>
      <c r="AH3">
        <v>0</v>
      </c>
      <c r="AI3">
        <v>1</v>
      </c>
      <c r="AJ3">
        <v>4</v>
      </c>
      <c r="AK3">
        <v>0</v>
      </c>
      <c r="AL3">
        <v>0</v>
      </c>
      <c r="AM3">
        <v>0</v>
      </c>
      <c r="AN3">
        <v>0</v>
      </c>
      <c r="AO3">
        <v>30</v>
      </c>
      <c r="AP3">
        <v>21.87</v>
      </c>
      <c r="AQ3">
        <v>0.72</v>
      </c>
      <c r="AR3">
        <v>-5.86</v>
      </c>
      <c r="AS3">
        <v>1.82</v>
      </c>
      <c r="AT3">
        <v>10.08</v>
      </c>
      <c r="AU3">
        <v>6666.69</v>
      </c>
      <c r="AV3">
        <v>35.81</v>
      </c>
      <c r="AW3">
        <v>24.03</v>
      </c>
      <c r="AX3">
        <v>22.39</v>
      </c>
      <c r="AY3">
        <v>14.515224999999999</v>
      </c>
      <c r="AZ3">
        <v>139.34884600000001</v>
      </c>
      <c r="BA3">
        <v>-16.853750000000002</v>
      </c>
      <c r="BB3">
        <v>2.735811</v>
      </c>
      <c r="BC3">
        <v>16.853750000000002</v>
      </c>
      <c r="BD3">
        <v>22.910663</v>
      </c>
      <c r="BE3">
        <v>239.20956200000001</v>
      </c>
      <c r="BF3">
        <v>-12.929489</v>
      </c>
      <c r="BG3">
        <v>7.3007860000000004</v>
      </c>
      <c r="BH3">
        <v>12.929489</v>
      </c>
    </row>
    <row r="4" spans="1:60" x14ac:dyDescent="0.25">
      <c r="A4" t="s">
        <v>66</v>
      </c>
      <c r="B4" t="s">
        <v>67</v>
      </c>
      <c r="C4">
        <v>0</v>
      </c>
      <c r="D4" t="s">
        <v>60</v>
      </c>
      <c r="E4" cm="1">
        <f t="array" ref="E4">_xlfn.SWITCH(D4,"QPSK",0.1,"16QAM",0.25,"64QAM",0.5,"256QAM",0.8,"1024QAM",1,"")</f>
        <v>1</v>
      </c>
      <c r="F4" cm="1">
        <f t="array" ref="F4">_xlfn.SWITCH(D4,"QPSK",0.05,"16QAM",0.15,"64QAM",0.4,"256QAM",0.75,"1024QAM",1,"")</f>
        <v>1</v>
      </c>
      <c r="G4" t="s">
        <v>61</v>
      </c>
      <c r="H4">
        <v>8</v>
      </c>
      <c r="I4" t="s">
        <v>62</v>
      </c>
      <c r="J4">
        <v>2</v>
      </c>
      <c r="K4">
        <v>2</v>
      </c>
      <c r="L4" t="s">
        <v>63</v>
      </c>
      <c r="M4">
        <v>2</v>
      </c>
      <c r="N4">
        <v>0.47849999999999998</v>
      </c>
      <c r="O4">
        <v>0.47620000000000001</v>
      </c>
      <c r="P4">
        <v>10000</v>
      </c>
      <c r="Q4">
        <v>2504</v>
      </c>
      <c r="R4">
        <v>7496</v>
      </c>
      <c r="S4">
        <v>3.99</v>
      </c>
      <c r="T4">
        <v>2.99</v>
      </c>
      <c r="W4">
        <v>0</v>
      </c>
      <c r="X4">
        <v>0</v>
      </c>
      <c r="Y4">
        <v>100</v>
      </c>
      <c r="Z4">
        <v>100</v>
      </c>
      <c r="AB4">
        <v>594320000</v>
      </c>
      <c r="AC4">
        <v>0</v>
      </c>
      <c r="AD4">
        <v>594320000</v>
      </c>
      <c r="AE4">
        <v>0</v>
      </c>
      <c r="AG4">
        <v>0</v>
      </c>
      <c r="AH4">
        <v>0</v>
      </c>
      <c r="AI4">
        <v>1</v>
      </c>
      <c r="AJ4">
        <v>3.9936099999999999</v>
      </c>
      <c r="AK4">
        <v>0</v>
      </c>
      <c r="AL4">
        <v>0</v>
      </c>
      <c r="AM4">
        <v>0</v>
      </c>
      <c r="AN4">
        <v>0</v>
      </c>
      <c r="AO4">
        <v>30</v>
      </c>
      <c r="AP4">
        <v>21.87</v>
      </c>
      <c r="AQ4">
        <v>0.72</v>
      </c>
      <c r="AR4">
        <v>-5.86</v>
      </c>
      <c r="AS4">
        <v>1.82</v>
      </c>
      <c r="AT4">
        <v>10.17</v>
      </c>
      <c r="AU4">
        <v>6666.69</v>
      </c>
      <c r="AV4">
        <v>35.81</v>
      </c>
      <c r="AW4">
        <v>24.04</v>
      </c>
      <c r="AX4">
        <v>22.38</v>
      </c>
      <c r="AY4">
        <v>14.515167</v>
      </c>
      <c r="AZ4">
        <v>138.78259499999999</v>
      </c>
      <c r="BA4">
        <v>-16.852447999999999</v>
      </c>
      <c r="BB4">
        <v>2.7034319999999998</v>
      </c>
      <c r="BC4">
        <v>16.852447999999999</v>
      </c>
      <c r="BD4">
        <v>22.907813000000001</v>
      </c>
      <c r="BE4">
        <v>239.41160500000001</v>
      </c>
      <c r="BF4">
        <v>-12.930216</v>
      </c>
      <c r="BG4">
        <v>7.3100139999999998</v>
      </c>
      <c r="BH4">
        <v>12.930216</v>
      </c>
    </row>
    <row r="5" spans="1:60" x14ac:dyDescent="0.25">
      <c r="A5" t="s">
        <v>68</v>
      </c>
      <c r="B5" t="s">
        <v>69</v>
      </c>
      <c r="C5">
        <v>10</v>
      </c>
      <c r="D5" t="s">
        <v>60</v>
      </c>
      <c r="E5" cm="1">
        <f t="array" ref="E5">_xlfn.SWITCH(D5,"QPSK",0.1,"16QAM",0.25,"64QAM",0.5,"256QAM",0.8,"1024QAM",1,"")</f>
        <v>1</v>
      </c>
      <c r="F5" cm="1">
        <f t="array" ref="F5">_xlfn.SWITCH(D5,"QPSK",0.05,"16QAM",0.15,"64QAM",0.4,"256QAM",0.75,"1024QAM",1,"")</f>
        <v>1</v>
      </c>
      <c r="G5" t="s">
        <v>61</v>
      </c>
      <c r="H5">
        <v>1</v>
      </c>
      <c r="I5" t="s">
        <v>62</v>
      </c>
      <c r="J5">
        <v>2</v>
      </c>
      <c r="K5">
        <v>2</v>
      </c>
      <c r="L5" t="s">
        <v>63</v>
      </c>
      <c r="M5">
        <v>2</v>
      </c>
      <c r="N5">
        <v>0.47849999999999998</v>
      </c>
      <c r="O5">
        <v>0.47620000000000001</v>
      </c>
      <c r="P5">
        <v>10000</v>
      </c>
      <c r="Q5">
        <v>2523</v>
      </c>
      <c r="R5">
        <v>7477</v>
      </c>
      <c r="S5">
        <v>3.96</v>
      </c>
      <c r="T5">
        <v>2.96</v>
      </c>
      <c r="W5">
        <v>1111</v>
      </c>
      <c r="X5">
        <v>0</v>
      </c>
      <c r="Y5">
        <v>88.89</v>
      </c>
      <c r="Z5">
        <v>55.97</v>
      </c>
      <c r="AB5">
        <v>594320000</v>
      </c>
      <c r="AC5">
        <v>66028952</v>
      </c>
      <c r="AD5">
        <v>594320000</v>
      </c>
      <c r="AE5">
        <v>66028952</v>
      </c>
      <c r="AG5">
        <v>44.03</v>
      </c>
      <c r="AH5">
        <v>11.11</v>
      </c>
      <c r="AI5">
        <v>1</v>
      </c>
      <c r="AJ5">
        <v>3.9635349999999998</v>
      </c>
      <c r="AK5">
        <v>5.2900000000000003E-2</v>
      </c>
      <c r="AL5">
        <v>6.6</v>
      </c>
      <c r="AM5">
        <v>6603</v>
      </c>
      <c r="AN5">
        <v>0.70540000000000003</v>
      </c>
      <c r="AO5">
        <v>30</v>
      </c>
      <c r="AP5">
        <v>21.87</v>
      </c>
      <c r="AQ5">
        <v>0.72</v>
      </c>
      <c r="AR5">
        <v>-6.07</v>
      </c>
      <c r="AS5">
        <v>1.96</v>
      </c>
      <c r="AT5">
        <v>21.99</v>
      </c>
      <c r="AU5">
        <v>6666.69</v>
      </c>
      <c r="AV5">
        <v>35.81</v>
      </c>
      <c r="AW5">
        <v>24.5</v>
      </c>
      <c r="AX5">
        <v>22.62</v>
      </c>
      <c r="AY5">
        <v>7.2112889999999998</v>
      </c>
      <c r="AZ5">
        <v>79.344848999999996</v>
      </c>
      <c r="BA5">
        <v>-23.041034</v>
      </c>
      <c r="BB5">
        <v>-2.5446550000000001</v>
      </c>
      <c r="BC5">
        <v>23.041034</v>
      </c>
      <c r="BD5">
        <v>15.818752</v>
      </c>
      <c r="BE5">
        <v>159.44220300000001</v>
      </c>
      <c r="BF5">
        <v>-16.299925000000002</v>
      </c>
      <c r="BG5">
        <v>3.7781669999999998</v>
      </c>
      <c r="BH5">
        <v>16.299925000000002</v>
      </c>
    </row>
    <row r="6" spans="1:60" x14ac:dyDescent="0.25">
      <c r="A6" t="s">
        <v>70</v>
      </c>
      <c r="B6" t="s">
        <v>71</v>
      </c>
      <c r="C6">
        <v>10</v>
      </c>
      <c r="D6" t="s">
        <v>60</v>
      </c>
      <c r="E6" cm="1">
        <f t="array" ref="E6">_xlfn.SWITCH(D6,"QPSK",0.1,"16QAM",0.25,"64QAM",0.5,"256QAM",0.8,"1024QAM",1,"")</f>
        <v>1</v>
      </c>
      <c r="F6" cm="1">
        <f t="array" ref="F6">_xlfn.SWITCH(D6,"QPSK",0.05,"16QAM",0.15,"64QAM",0.4,"256QAM",0.75,"1024QAM",1,"")</f>
        <v>1</v>
      </c>
      <c r="G6" t="s">
        <v>61</v>
      </c>
      <c r="H6">
        <v>1</v>
      </c>
      <c r="I6" t="s">
        <v>62</v>
      </c>
      <c r="J6">
        <v>2</v>
      </c>
      <c r="K6">
        <v>2</v>
      </c>
      <c r="L6" t="s">
        <v>63</v>
      </c>
      <c r="M6">
        <v>2</v>
      </c>
      <c r="N6">
        <v>0.47849999999999998</v>
      </c>
      <c r="O6">
        <v>0.47620000000000001</v>
      </c>
      <c r="P6">
        <v>10000</v>
      </c>
      <c r="Q6">
        <v>2523</v>
      </c>
      <c r="R6">
        <v>7477</v>
      </c>
      <c r="S6">
        <v>3.96</v>
      </c>
      <c r="T6">
        <v>2.96</v>
      </c>
      <c r="W6">
        <v>1114</v>
      </c>
      <c r="X6">
        <v>0</v>
      </c>
      <c r="Y6">
        <v>88.86</v>
      </c>
      <c r="Z6">
        <v>55.85</v>
      </c>
      <c r="AB6">
        <v>594320000</v>
      </c>
      <c r="AC6">
        <v>66207248</v>
      </c>
      <c r="AD6">
        <v>594320000</v>
      </c>
      <c r="AE6">
        <v>66207248</v>
      </c>
      <c r="AG6">
        <v>44.15</v>
      </c>
      <c r="AH6">
        <v>11.14</v>
      </c>
      <c r="AI6">
        <v>1</v>
      </c>
      <c r="AJ6">
        <v>3.9635349999999998</v>
      </c>
      <c r="AK6">
        <v>5.3100000000000001E-2</v>
      </c>
      <c r="AL6">
        <v>6.62</v>
      </c>
      <c r="AM6">
        <v>6621</v>
      </c>
      <c r="AN6">
        <v>0.70730000000000004</v>
      </c>
      <c r="AO6">
        <v>30</v>
      </c>
      <c r="AP6">
        <v>21.87</v>
      </c>
      <c r="AQ6">
        <v>0.72</v>
      </c>
      <c r="AR6">
        <v>-6.07</v>
      </c>
      <c r="AS6">
        <v>1.97</v>
      </c>
      <c r="AT6">
        <v>22.01</v>
      </c>
      <c r="AU6">
        <v>6666.69</v>
      </c>
      <c r="AV6">
        <v>35.81</v>
      </c>
      <c r="AW6">
        <v>24.5</v>
      </c>
      <c r="AX6">
        <v>22.62</v>
      </c>
      <c r="AY6">
        <v>7.210121</v>
      </c>
      <c r="AZ6">
        <v>79.402174000000002</v>
      </c>
      <c r="BA6">
        <v>-23.042735</v>
      </c>
      <c r="BB6">
        <v>-2.5445169999999999</v>
      </c>
      <c r="BC6">
        <v>23.042735</v>
      </c>
      <c r="BD6">
        <v>15.829688000000001</v>
      </c>
      <c r="BE6">
        <v>159.447552</v>
      </c>
      <c r="BF6">
        <v>-16.295459000000001</v>
      </c>
      <c r="BG6">
        <v>3.7806980000000001</v>
      </c>
      <c r="BH6">
        <v>16.295459000000001</v>
      </c>
    </row>
    <row r="7" spans="1:60" x14ac:dyDescent="0.25">
      <c r="A7" t="s">
        <v>72</v>
      </c>
      <c r="B7" t="s">
        <v>73</v>
      </c>
      <c r="C7">
        <v>10</v>
      </c>
      <c r="D7" t="s">
        <v>60</v>
      </c>
      <c r="E7" cm="1">
        <f t="array" ref="E7">_xlfn.SWITCH(D7,"QPSK",0.1,"16QAM",0.25,"64QAM",0.5,"256QAM",0.8,"1024QAM",1,"")</f>
        <v>1</v>
      </c>
      <c r="F7" cm="1">
        <f t="array" ref="F7">_xlfn.SWITCH(D7,"QPSK",0.05,"16QAM",0.15,"64QAM",0.4,"256QAM",0.75,"1024QAM",1,"")</f>
        <v>1</v>
      </c>
      <c r="G7" t="s">
        <v>61</v>
      </c>
      <c r="H7">
        <v>4</v>
      </c>
      <c r="I7" t="s">
        <v>62</v>
      </c>
      <c r="J7">
        <v>2</v>
      </c>
      <c r="K7">
        <v>2</v>
      </c>
      <c r="L7" t="s">
        <v>63</v>
      </c>
      <c r="M7">
        <v>2</v>
      </c>
      <c r="N7">
        <v>0.47849999999999998</v>
      </c>
      <c r="O7">
        <v>0.47620000000000001</v>
      </c>
      <c r="P7">
        <v>10000</v>
      </c>
      <c r="Q7">
        <v>2520</v>
      </c>
      <c r="R7">
        <v>7480</v>
      </c>
      <c r="S7">
        <v>3.97</v>
      </c>
      <c r="T7">
        <v>2.97</v>
      </c>
      <c r="W7">
        <v>1089</v>
      </c>
      <c r="X7">
        <v>0</v>
      </c>
      <c r="Y7">
        <v>89.11</v>
      </c>
      <c r="Z7">
        <v>56.79</v>
      </c>
      <c r="AB7">
        <v>594320000</v>
      </c>
      <c r="AC7">
        <v>64721448</v>
      </c>
      <c r="AD7">
        <v>594320000</v>
      </c>
      <c r="AE7">
        <v>64721448</v>
      </c>
      <c r="AG7">
        <v>43.21</v>
      </c>
      <c r="AH7">
        <v>10.89</v>
      </c>
      <c r="AI7">
        <v>1</v>
      </c>
      <c r="AJ7">
        <v>3.9682539999999999</v>
      </c>
      <c r="AK7">
        <v>5.1900000000000002E-2</v>
      </c>
      <c r="AL7">
        <v>6.47</v>
      </c>
      <c r="AM7">
        <v>6472</v>
      </c>
      <c r="AN7">
        <v>0.6915</v>
      </c>
      <c r="AO7">
        <v>30</v>
      </c>
      <c r="AP7">
        <v>21.87</v>
      </c>
      <c r="AQ7">
        <v>0.72</v>
      </c>
      <c r="AR7">
        <v>-6.07</v>
      </c>
      <c r="AS7">
        <v>1.97</v>
      </c>
      <c r="AT7">
        <v>22.01</v>
      </c>
      <c r="AU7">
        <v>6666.69</v>
      </c>
      <c r="AV7">
        <v>35.81</v>
      </c>
      <c r="AW7">
        <v>24.49</v>
      </c>
      <c r="AX7">
        <v>22.62</v>
      </c>
      <c r="AY7">
        <v>7.2197930000000001</v>
      </c>
      <c r="AZ7">
        <v>79.608371000000005</v>
      </c>
      <c r="BA7">
        <v>-23.031765</v>
      </c>
      <c r="BB7">
        <v>-2.5218950000000002</v>
      </c>
      <c r="BC7">
        <v>23.031765</v>
      </c>
      <c r="BD7">
        <v>15.820932000000001</v>
      </c>
      <c r="BE7">
        <v>159.87394900000001</v>
      </c>
      <c r="BF7">
        <v>-16.298743000000002</v>
      </c>
      <c r="BG7">
        <v>3.798883</v>
      </c>
      <c r="BH7">
        <v>16.298743000000002</v>
      </c>
    </row>
    <row r="8" spans="1:60" x14ac:dyDescent="0.25">
      <c r="A8" t="s">
        <v>74</v>
      </c>
      <c r="B8" t="s">
        <v>75</v>
      </c>
      <c r="C8">
        <v>10</v>
      </c>
      <c r="D8" t="s">
        <v>60</v>
      </c>
      <c r="E8" cm="1">
        <f t="array" ref="E8">_xlfn.SWITCH(D8,"QPSK",0.1,"16QAM",0.25,"64QAM",0.5,"256QAM",0.8,"1024QAM",1,"")</f>
        <v>1</v>
      </c>
      <c r="F8" cm="1">
        <f t="array" ref="F8">_xlfn.SWITCH(D8,"QPSK",0.05,"16QAM",0.15,"64QAM",0.4,"256QAM",0.75,"1024QAM",1,"")</f>
        <v>1</v>
      </c>
      <c r="G8" t="s">
        <v>61</v>
      </c>
      <c r="H8">
        <v>4</v>
      </c>
      <c r="I8" t="s">
        <v>62</v>
      </c>
      <c r="J8">
        <v>2</v>
      </c>
      <c r="K8">
        <v>2</v>
      </c>
      <c r="L8" t="s">
        <v>63</v>
      </c>
      <c r="M8">
        <v>2</v>
      </c>
      <c r="N8">
        <v>0.47849999999999998</v>
      </c>
      <c r="O8">
        <v>0.47620000000000001</v>
      </c>
      <c r="P8">
        <v>10000</v>
      </c>
      <c r="Q8">
        <v>2521</v>
      </c>
      <c r="R8">
        <v>7479</v>
      </c>
      <c r="S8">
        <v>3.97</v>
      </c>
      <c r="T8">
        <v>2.97</v>
      </c>
      <c r="W8">
        <v>1085</v>
      </c>
      <c r="X8">
        <v>0</v>
      </c>
      <c r="Y8">
        <v>89.15</v>
      </c>
      <c r="Z8">
        <v>56.96</v>
      </c>
      <c r="AB8">
        <v>594320000</v>
      </c>
      <c r="AC8">
        <v>64483720</v>
      </c>
      <c r="AD8">
        <v>594320000</v>
      </c>
      <c r="AE8">
        <v>64483720</v>
      </c>
      <c r="AG8">
        <v>43.04</v>
      </c>
      <c r="AH8">
        <v>10.85</v>
      </c>
      <c r="AI8">
        <v>1</v>
      </c>
      <c r="AJ8">
        <v>3.9666800000000002</v>
      </c>
      <c r="AK8">
        <v>5.1700000000000003E-2</v>
      </c>
      <c r="AL8">
        <v>6.45</v>
      </c>
      <c r="AM8">
        <v>6448</v>
      </c>
      <c r="AN8">
        <v>0.68889999999999996</v>
      </c>
      <c r="AO8">
        <v>30</v>
      </c>
      <c r="AP8">
        <v>21.87</v>
      </c>
      <c r="AQ8">
        <v>0.72</v>
      </c>
      <c r="AR8">
        <v>-6.07</v>
      </c>
      <c r="AS8">
        <v>1.96</v>
      </c>
      <c r="AT8">
        <v>22.32</v>
      </c>
      <c r="AU8">
        <v>6666.69</v>
      </c>
      <c r="AV8">
        <v>35.81</v>
      </c>
      <c r="AW8">
        <v>24.5</v>
      </c>
      <c r="AX8">
        <v>22.62</v>
      </c>
      <c r="AY8">
        <v>7.213635</v>
      </c>
      <c r="AZ8">
        <v>79.513355000000004</v>
      </c>
      <c r="BA8">
        <v>-23.038899000000001</v>
      </c>
      <c r="BB8">
        <v>-2.5352389999999998</v>
      </c>
      <c r="BC8">
        <v>23.038899000000001</v>
      </c>
      <c r="BD8">
        <v>15.819468000000001</v>
      </c>
      <c r="BE8">
        <v>159.429993</v>
      </c>
      <c r="BF8">
        <v>-16.300934999999999</v>
      </c>
      <c r="BG8">
        <v>3.7740520000000002</v>
      </c>
      <c r="BH8">
        <v>16.300934999999999</v>
      </c>
    </row>
    <row r="9" spans="1:60" x14ac:dyDescent="0.25">
      <c r="A9" t="s">
        <v>76</v>
      </c>
      <c r="B9" t="s">
        <v>77</v>
      </c>
      <c r="C9">
        <v>10</v>
      </c>
      <c r="D9" t="s">
        <v>60</v>
      </c>
      <c r="E9" cm="1">
        <f t="array" ref="E9">_xlfn.SWITCH(D9,"QPSK",0.1,"16QAM",0.25,"64QAM",0.5,"256QAM",0.8,"1024QAM",1,"")</f>
        <v>1</v>
      </c>
      <c r="F9" cm="1">
        <f t="array" ref="F9">_xlfn.SWITCH(D9,"QPSK",0.05,"16QAM",0.15,"64QAM",0.4,"256QAM",0.75,"1024QAM",1,"")</f>
        <v>1</v>
      </c>
      <c r="G9" t="s">
        <v>61</v>
      </c>
      <c r="H9">
        <v>8</v>
      </c>
      <c r="I9" t="s">
        <v>62</v>
      </c>
      <c r="J9">
        <v>2</v>
      </c>
      <c r="K9">
        <v>2</v>
      </c>
      <c r="L9" t="s">
        <v>63</v>
      </c>
      <c r="M9">
        <v>2</v>
      </c>
      <c r="N9">
        <v>0.47849999999999998</v>
      </c>
      <c r="O9">
        <v>0.47620000000000001</v>
      </c>
      <c r="P9">
        <v>10000</v>
      </c>
      <c r="Q9">
        <v>2516</v>
      </c>
      <c r="R9">
        <v>7484</v>
      </c>
      <c r="S9">
        <v>3.97</v>
      </c>
      <c r="T9">
        <v>2.97</v>
      </c>
      <c r="W9">
        <v>1039</v>
      </c>
      <c r="X9">
        <v>0</v>
      </c>
      <c r="Y9">
        <v>89.61</v>
      </c>
      <c r="Z9">
        <v>58.7</v>
      </c>
      <c r="AB9">
        <v>594320000</v>
      </c>
      <c r="AC9">
        <v>61749848</v>
      </c>
      <c r="AD9">
        <v>594320000</v>
      </c>
      <c r="AE9">
        <v>61749848</v>
      </c>
      <c r="AG9">
        <v>41.3</v>
      </c>
      <c r="AH9">
        <v>10.39</v>
      </c>
      <c r="AI9">
        <v>1</v>
      </c>
      <c r="AJ9">
        <v>3.9745629999999998</v>
      </c>
      <c r="AK9">
        <v>4.9500000000000002E-2</v>
      </c>
      <c r="AL9">
        <v>6.17</v>
      </c>
      <c r="AM9">
        <v>6175</v>
      </c>
      <c r="AN9">
        <v>0.65969999999999995</v>
      </c>
      <c r="AO9">
        <v>30</v>
      </c>
      <c r="AP9">
        <v>21.87</v>
      </c>
      <c r="AQ9">
        <v>0.72</v>
      </c>
      <c r="AR9">
        <v>-6.07</v>
      </c>
      <c r="AS9">
        <v>1.96</v>
      </c>
      <c r="AT9">
        <v>21.97</v>
      </c>
      <c r="AU9">
        <v>6666.69</v>
      </c>
      <c r="AV9">
        <v>35.81</v>
      </c>
      <c r="AW9">
        <v>24.49</v>
      </c>
      <c r="AX9">
        <v>22.62</v>
      </c>
      <c r="AY9">
        <v>7.2142900000000001</v>
      </c>
      <c r="AZ9">
        <v>79.631910000000005</v>
      </c>
      <c r="BA9">
        <v>-23.039148000000001</v>
      </c>
      <c r="BB9">
        <v>-2.5262449999999999</v>
      </c>
      <c r="BC9">
        <v>23.039148000000001</v>
      </c>
      <c r="BD9">
        <v>15.812714</v>
      </c>
      <c r="BE9">
        <v>159.61339799999999</v>
      </c>
      <c r="BF9">
        <v>-16.302797999999999</v>
      </c>
      <c r="BG9">
        <v>3.7899159999999998</v>
      </c>
      <c r="BH9">
        <v>16.302797999999999</v>
      </c>
    </row>
    <row r="10" spans="1:60" x14ac:dyDescent="0.25">
      <c r="A10" t="s">
        <v>78</v>
      </c>
      <c r="B10" t="s">
        <v>79</v>
      </c>
      <c r="C10">
        <v>10</v>
      </c>
      <c r="D10" t="s">
        <v>60</v>
      </c>
      <c r="E10" cm="1">
        <f t="array" ref="E10">_xlfn.SWITCH(D10,"QPSK",0.1,"16QAM",0.25,"64QAM",0.5,"256QAM",0.8,"1024QAM",1,"")</f>
        <v>1</v>
      </c>
      <c r="F10" cm="1">
        <f t="array" ref="F10">_xlfn.SWITCH(D10,"QPSK",0.05,"16QAM",0.15,"64QAM",0.4,"256QAM",0.75,"1024QAM",1,"")</f>
        <v>1</v>
      </c>
      <c r="G10" t="s">
        <v>61</v>
      </c>
      <c r="H10">
        <v>8</v>
      </c>
      <c r="I10" t="s">
        <v>62</v>
      </c>
      <c r="J10">
        <v>2</v>
      </c>
      <c r="K10">
        <v>2</v>
      </c>
      <c r="L10" t="s">
        <v>63</v>
      </c>
      <c r="M10">
        <v>2</v>
      </c>
      <c r="N10">
        <v>0.47849999999999998</v>
      </c>
      <c r="O10">
        <v>0.47620000000000001</v>
      </c>
      <c r="P10">
        <v>10000</v>
      </c>
      <c r="Q10">
        <v>2516</v>
      </c>
      <c r="R10">
        <v>7484</v>
      </c>
      <c r="S10">
        <v>3.97</v>
      </c>
      <c r="T10">
        <v>2.97</v>
      </c>
      <c r="W10">
        <v>1026</v>
      </c>
      <c r="X10">
        <v>0</v>
      </c>
      <c r="Y10">
        <v>89.74</v>
      </c>
      <c r="Z10">
        <v>59.22</v>
      </c>
      <c r="AB10">
        <v>594320000</v>
      </c>
      <c r="AC10">
        <v>60977232</v>
      </c>
      <c r="AD10">
        <v>594320000</v>
      </c>
      <c r="AE10">
        <v>60977232</v>
      </c>
      <c r="AG10">
        <v>40.78</v>
      </c>
      <c r="AH10">
        <v>10.26</v>
      </c>
      <c r="AI10">
        <v>1</v>
      </c>
      <c r="AJ10">
        <v>3.9745629999999998</v>
      </c>
      <c r="AK10">
        <v>4.8899999999999999E-2</v>
      </c>
      <c r="AL10">
        <v>6.1</v>
      </c>
      <c r="AM10">
        <v>6098</v>
      </c>
      <c r="AN10">
        <v>0.65149999999999997</v>
      </c>
      <c r="AO10">
        <v>30</v>
      </c>
      <c r="AP10">
        <v>21.87</v>
      </c>
      <c r="AQ10">
        <v>0.72</v>
      </c>
      <c r="AR10">
        <v>-6.07</v>
      </c>
      <c r="AS10">
        <v>1.97</v>
      </c>
      <c r="AT10">
        <v>21.96</v>
      </c>
      <c r="AU10">
        <v>6666.69</v>
      </c>
      <c r="AV10">
        <v>35.81</v>
      </c>
      <c r="AW10">
        <v>24.5</v>
      </c>
      <c r="AX10">
        <v>22.61</v>
      </c>
      <c r="AY10">
        <v>7.2130530000000004</v>
      </c>
      <c r="AZ10">
        <v>79.397974000000005</v>
      </c>
      <c r="BA10">
        <v>-23.040348999999999</v>
      </c>
      <c r="BB10">
        <v>-2.5405720000000001</v>
      </c>
      <c r="BC10">
        <v>23.040348999999999</v>
      </c>
      <c r="BD10">
        <v>15.817914999999999</v>
      </c>
      <c r="BE10">
        <v>159.63813300000001</v>
      </c>
      <c r="BF10">
        <v>-16.300263000000001</v>
      </c>
      <c r="BG10">
        <v>3.7889210000000002</v>
      </c>
      <c r="BH10">
        <v>16.300263000000001</v>
      </c>
    </row>
    <row r="11" spans="1:60" x14ac:dyDescent="0.25">
      <c r="A11" t="s">
        <v>80</v>
      </c>
      <c r="B11" t="s">
        <v>81</v>
      </c>
      <c r="C11">
        <v>12</v>
      </c>
      <c r="D11" t="s">
        <v>60</v>
      </c>
      <c r="E11" cm="1">
        <f t="array" ref="E11">_xlfn.SWITCH(D11,"QPSK",0.1,"16QAM",0.25,"64QAM",0.5,"256QAM",0.8,"1024QAM",1,"")</f>
        <v>1</v>
      </c>
      <c r="F11" cm="1">
        <f t="array" ref="F11">_xlfn.SWITCH(D11,"QPSK",0.05,"16QAM",0.15,"64QAM",0.4,"256QAM",0.75,"1024QAM",1,"")</f>
        <v>1</v>
      </c>
      <c r="G11" t="s">
        <v>61</v>
      </c>
      <c r="H11">
        <v>1</v>
      </c>
      <c r="I11" t="s">
        <v>62</v>
      </c>
      <c r="J11">
        <v>2</v>
      </c>
      <c r="K11">
        <v>2</v>
      </c>
      <c r="L11" t="s">
        <v>63</v>
      </c>
      <c r="M11">
        <v>2</v>
      </c>
      <c r="N11">
        <v>0.47849999999999998</v>
      </c>
      <c r="O11">
        <v>0.47620000000000001</v>
      </c>
      <c r="P11">
        <v>10000</v>
      </c>
      <c r="Q11">
        <v>2608</v>
      </c>
      <c r="R11">
        <v>7392</v>
      </c>
      <c r="S11">
        <v>3.83</v>
      </c>
      <c r="T11">
        <v>2.83</v>
      </c>
      <c r="W11">
        <v>1778</v>
      </c>
      <c r="X11">
        <v>0</v>
      </c>
      <c r="Y11">
        <v>82.22</v>
      </c>
      <c r="Z11">
        <v>31.83</v>
      </c>
      <c r="AB11">
        <v>594320000</v>
      </c>
      <c r="AC11">
        <v>105670096</v>
      </c>
      <c r="AD11">
        <v>594320000</v>
      </c>
      <c r="AE11">
        <v>105670096</v>
      </c>
      <c r="AG11">
        <v>68.17</v>
      </c>
      <c r="AH11">
        <v>17.78</v>
      </c>
      <c r="AI11">
        <v>1</v>
      </c>
      <c r="AJ11">
        <v>3.8343560000000001</v>
      </c>
      <c r="AK11">
        <v>8.4699999999999998E-2</v>
      </c>
      <c r="AL11">
        <v>10.57</v>
      </c>
      <c r="AM11">
        <v>10567</v>
      </c>
      <c r="AN11">
        <v>1.129</v>
      </c>
      <c r="AO11">
        <v>30</v>
      </c>
      <c r="AP11">
        <v>21.87</v>
      </c>
      <c r="AQ11">
        <v>0.72</v>
      </c>
      <c r="AR11">
        <v>-6.07</v>
      </c>
      <c r="AS11">
        <v>1.96</v>
      </c>
      <c r="AT11">
        <v>22.4</v>
      </c>
      <c r="AU11">
        <v>6666.69</v>
      </c>
      <c r="AV11">
        <v>35.81</v>
      </c>
      <c r="AW11">
        <v>24.84</v>
      </c>
      <c r="AX11">
        <v>21.96</v>
      </c>
      <c r="AY11">
        <v>6.5369700000000002</v>
      </c>
      <c r="AZ11">
        <v>78.116867999999997</v>
      </c>
      <c r="BA11">
        <v>-23.902771000000001</v>
      </c>
      <c r="BB11">
        <v>-2.8442769999999999</v>
      </c>
      <c r="BC11">
        <v>23.902771000000001</v>
      </c>
      <c r="BD11">
        <v>14.554551999999999</v>
      </c>
      <c r="BE11">
        <v>156.20742000000001</v>
      </c>
      <c r="BF11">
        <v>-16.993863999999999</v>
      </c>
      <c r="BG11">
        <v>3.6556679999999999</v>
      </c>
      <c r="BH11">
        <v>16.993863999999999</v>
      </c>
    </row>
    <row r="12" spans="1:60" x14ac:dyDescent="0.25">
      <c r="A12" t="s">
        <v>82</v>
      </c>
      <c r="B12" t="s">
        <v>83</v>
      </c>
      <c r="C12">
        <v>12</v>
      </c>
      <c r="D12" t="s">
        <v>60</v>
      </c>
      <c r="E12" cm="1">
        <f t="array" ref="E12">_xlfn.SWITCH(D12,"QPSK",0.1,"16QAM",0.25,"64QAM",0.5,"256QAM",0.8,"1024QAM",1,"")</f>
        <v>1</v>
      </c>
      <c r="F12" cm="1">
        <f t="array" ref="F12">_xlfn.SWITCH(D12,"QPSK",0.05,"16QAM",0.15,"64QAM",0.4,"256QAM",0.75,"1024QAM",1,"")</f>
        <v>1</v>
      </c>
      <c r="G12" t="s">
        <v>61</v>
      </c>
      <c r="H12">
        <v>4</v>
      </c>
      <c r="I12" t="s">
        <v>62</v>
      </c>
      <c r="J12">
        <v>2</v>
      </c>
      <c r="K12">
        <v>2</v>
      </c>
      <c r="L12" t="s">
        <v>63</v>
      </c>
      <c r="M12">
        <v>2</v>
      </c>
      <c r="N12">
        <v>0.47849999999999998</v>
      </c>
      <c r="O12">
        <v>0.47620000000000001</v>
      </c>
      <c r="P12">
        <v>10000</v>
      </c>
      <c r="Q12">
        <v>2585</v>
      </c>
      <c r="R12">
        <v>7415</v>
      </c>
      <c r="S12">
        <v>3.87</v>
      </c>
      <c r="T12">
        <v>2.87</v>
      </c>
      <c r="W12">
        <v>1807</v>
      </c>
      <c r="X12">
        <v>0</v>
      </c>
      <c r="Y12">
        <v>81.93</v>
      </c>
      <c r="Z12">
        <v>30.1</v>
      </c>
      <c r="AB12">
        <v>594320000</v>
      </c>
      <c r="AC12">
        <v>107393624</v>
      </c>
      <c r="AD12">
        <v>594320000</v>
      </c>
      <c r="AE12">
        <v>107393624</v>
      </c>
      <c r="AG12">
        <v>69.900000000000006</v>
      </c>
      <c r="AH12">
        <v>18.07</v>
      </c>
      <c r="AI12">
        <v>1</v>
      </c>
      <c r="AJ12">
        <v>3.8684720000000001</v>
      </c>
      <c r="AK12">
        <v>8.6099999999999996E-2</v>
      </c>
      <c r="AL12">
        <v>10.74</v>
      </c>
      <c r="AM12">
        <v>10739</v>
      </c>
      <c r="AN12">
        <v>1.1474</v>
      </c>
      <c r="AO12">
        <v>30</v>
      </c>
      <c r="AP12">
        <v>21.87</v>
      </c>
      <c r="AQ12">
        <v>0.72</v>
      </c>
      <c r="AR12">
        <v>-6.07</v>
      </c>
      <c r="AS12">
        <v>1.96</v>
      </c>
      <c r="AT12">
        <v>22.15</v>
      </c>
      <c r="AU12">
        <v>6666.69</v>
      </c>
      <c r="AV12">
        <v>35.81</v>
      </c>
      <c r="AW12">
        <v>24.83</v>
      </c>
      <c r="AX12">
        <v>21.95</v>
      </c>
      <c r="AY12">
        <v>6.5382009999999999</v>
      </c>
      <c r="AZ12">
        <v>77.818084999999996</v>
      </c>
      <c r="BA12">
        <v>-23.902519000000002</v>
      </c>
      <c r="BB12">
        <v>-2.8665759999999998</v>
      </c>
      <c r="BC12">
        <v>23.902519000000002</v>
      </c>
      <c r="BD12">
        <v>14.562229</v>
      </c>
      <c r="BE12">
        <v>156.474614</v>
      </c>
      <c r="BF12">
        <v>-16.988427999999999</v>
      </c>
      <c r="BG12">
        <v>3.6694399999999998</v>
      </c>
      <c r="BH12">
        <v>16.988427999999999</v>
      </c>
    </row>
    <row r="13" spans="1:60" x14ac:dyDescent="0.25">
      <c r="A13" t="s">
        <v>84</v>
      </c>
      <c r="B13" t="s">
        <v>85</v>
      </c>
      <c r="C13">
        <v>12</v>
      </c>
      <c r="D13" t="s">
        <v>60</v>
      </c>
      <c r="E13" cm="1">
        <f t="array" ref="E13">_xlfn.SWITCH(D13,"QPSK",0.1,"16QAM",0.25,"64QAM",0.5,"256QAM",0.8,"1024QAM",1,"")</f>
        <v>1</v>
      </c>
      <c r="F13" cm="1">
        <f t="array" ref="F13">_xlfn.SWITCH(D13,"QPSK",0.05,"16QAM",0.15,"64QAM",0.4,"256QAM",0.75,"1024QAM",1,"")</f>
        <v>1</v>
      </c>
      <c r="G13" t="s">
        <v>61</v>
      </c>
      <c r="H13">
        <v>8</v>
      </c>
      <c r="I13" t="s">
        <v>62</v>
      </c>
      <c r="J13">
        <v>2</v>
      </c>
      <c r="K13">
        <v>2</v>
      </c>
      <c r="L13" t="s">
        <v>63</v>
      </c>
      <c r="M13">
        <v>2</v>
      </c>
      <c r="N13">
        <v>0.47849999999999998</v>
      </c>
      <c r="O13">
        <v>0.47620000000000001</v>
      </c>
      <c r="P13">
        <v>10000</v>
      </c>
      <c r="Q13">
        <v>2575</v>
      </c>
      <c r="R13">
        <v>7425</v>
      </c>
      <c r="S13">
        <v>3.88</v>
      </c>
      <c r="T13">
        <v>2.88</v>
      </c>
      <c r="W13">
        <v>1800</v>
      </c>
      <c r="X13">
        <v>0</v>
      </c>
      <c r="Y13">
        <v>82</v>
      </c>
      <c r="Z13">
        <v>30.1</v>
      </c>
      <c r="AB13">
        <v>594320000</v>
      </c>
      <c r="AC13">
        <v>106977600</v>
      </c>
      <c r="AD13">
        <v>594320000</v>
      </c>
      <c r="AE13">
        <v>106977600</v>
      </c>
      <c r="AG13">
        <v>69.900000000000006</v>
      </c>
      <c r="AH13">
        <v>18</v>
      </c>
      <c r="AI13">
        <v>1</v>
      </c>
      <c r="AJ13">
        <v>3.8834949999999999</v>
      </c>
      <c r="AK13">
        <v>8.5699999999999998E-2</v>
      </c>
      <c r="AL13">
        <v>10.7</v>
      </c>
      <c r="AM13">
        <v>10698</v>
      </c>
      <c r="AN13">
        <v>1.1429</v>
      </c>
      <c r="AO13">
        <v>30</v>
      </c>
      <c r="AP13">
        <v>21.87</v>
      </c>
      <c r="AQ13">
        <v>0.72</v>
      </c>
      <c r="AR13">
        <v>-6.07</v>
      </c>
      <c r="AS13">
        <v>1.96</v>
      </c>
      <c r="AT13">
        <v>22.36</v>
      </c>
      <c r="AU13">
        <v>6666.69</v>
      </c>
      <c r="AV13">
        <v>35.81</v>
      </c>
      <c r="AW13">
        <v>24.83</v>
      </c>
      <c r="AX13">
        <v>21.96</v>
      </c>
      <c r="AY13">
        <v>6.539415</v>
      </c>
      <c r="AZ13">
        <v>77.866739999999993</v>
      </c>
      <c r="BA13">
        <v>-23.902488000000002</v>
      </c>
      <c r="BB13">
        <v>-2.8719450000000002</v>
      </c>
      <c r="BC13">
        <v>23.902488000000002</v>
      </c>
      <c r="BD13">
        <v>14.555757</v>
      </c>
      <c r="BE13">
        <v>156.210621</v>
      </c>
      <c r="BF13">
        <v>-16.993319</v>
      </c>
      <c r="BG13">
        <v>3.659033</v>
      </c>
      <c r="BH13">
        <v>16.993319</v>
      </c>
    </row>
    <row r="14" spans="1:60" x14ac:dyDescent="0.25">
      <c r="A14" t="s">
        <v>86</v>
      </c>
      <c r="B14" t="s">
        <v>87</v>
      </c>
      <c r="C14">
        <v>14</v>
      </c>
      <c r="D14" t="s">
        <v>60</v>
      </c>
      <c r="E14" cm="1">
        <f t="array" ref="E14">_xlfn.SWITCH(D14,"QPSK",0.1,"16QAM",0.25,"64QAM",0.5,"256QAM",0.8,"1024QAM",1,"")</f>
        <v>1</v>
      </c>
      <c r="F14" cm="1">
        <f t="array" ref="F14">_xlfn.SWITCH(D14,"QPSK",0.05,"16QAM",0.15,"64QAM",0.4,"256QAM",0.75,"1024QAM",1,"")</f>
        <v>1</v>
      </c>
      <c r="G14" t="s">
        <v>61</v>
      </c>
      <c r="H14">
        <v>1</v>
      </c>
      <c r="I14" t="s">
        <v>62</v>
      </c>
      <c r="J14">
        <v>2</v>
      </c>
      <c r="K14">
        <v>2</v>
      </c>
      <c r="L14" t="s">
        <v>63</v>
      </c>
      <c r="M14">
        <v>2</v>
      </c>
      <c r="N14">
        <v>0.47849999999999998</v>
      </c>
      <c r="O14">
        <v>0.47620000000000001</v>
      </c>
      <c r="P14">
        <v>10000</v>
      </c>
      <c r="Q14">
        <v>2835</v>
      </c>
      <c r="R14">
        <v>7165</v>
      </c>
      <c r="S14">
        <v>3.53</v>
      </c>
      <c r="T14">
        <v>2.5299999999999998</v>
      </c>
      <c r="W14">
        <v>2534</v>
      </c>
      <c r="X14">
        <v>0</v>
      </c>
      <c r="Y14">
        <v>74.66</v>
      </c>
      <c r="Z14">
        <v>10.62</v>
      </c>
      <c r="AB14">
        <v>594320000</v>
      </c>
      <c r="AC14">
        <v>150600688</v>
      </c>
      <c r="AD14">
        <v>594320000</v>
      </c>
      <c r="AE14">
        <v>150600688</v>
      </c>
      <c r="AG14">
        <v>89.38</v>
      </c>
      <c r="AH14">
        <v>25.34</v>
      </c>
      <c r="AI14">
        <v>1</v>
      </c>
      <c r="AJ14">
        <v>3.5273370000000002</v>
      </c>
      <c r="AK14">
        <v>0.1207</v>
      </c>
      <c r="AL14">
        <v>15.06</v>
      </c>
      <c r="AM14">
        <v>15060</v>
      </c>
      <c r="AN14">
        <v>1.609</v>
      </c>
      <c r="AO14">
        <v>30</v>
      </c>
      <c r="AP14">
        <v>21.87</v>
      </c>
      <c r="AQ14">
        <v>0.72</v>
      </c>
      <c r="AR14">
        <v>-6.08</v>
      </c>
      <c r="AS14">
        <v>1.95</v>
      </c>
      <c r="AT14">
        <v>22.9</v>
      </c>
      <c r="AU14">
        <v>6666.69</v>
      </c>
      <c r="AV14">
        <v>35.81</v>
      </c>
      <c r="AW14">
        <v>25.43</v>
      </c>
      <c r="AX14">
        <v>21.6</v>
      </c>
      <c r="AY14">
        <v>5.8501820000000002</v>
      </c>
      <c r="AZ14">
        <v>72.553126000000006</v>
      </c>
      <c r="BA14">
        <v>-24.854029000000001</v>
      </c>
      <c r="BB14">
        <v>-3.4959929999999999</v>
      </c>
      <c r="BC14">
        <v>24.854029000000001</v>
      </c>
      <c r="BD14">
        <v>13.203613000000001</v>
      </c>
      <c r="BE14">
        <v>151.890255</v>
      </c>
      <c r="BF14">
        <v>-17.850178</v>
      </c>
      <c r="BG14">
        <v>3.4056959999999998</v>
      </c>
      <c r="BH14">
        <v>17.850178</v>
      </c>
    </row>
    <row r="15" spans="1:60" x14ac:dyDescent="0.25">
      <c r="A15" t="s">
        <v>88</v>
      </c>
      <c r="B15" t="s">
        <v>89</v>
      </c>
      <c r="C15">
        <v>14</v>
      </c>
      <c r="D15" t="s">
        <v>60</v>
      </c>
      <c r="E15" cm="1">
        <f t="array" ref="E15">_xlfn.SWITCH(D15,"QPSK",0.1,"16QAM",0.25,"64QAM",0.5,"256QAM",0.8,"1024QAM",1,"")</f>
        <v>1</v>
      </c>
      <c r="F15" cm="1">
        <f t="array" ref="F15">_xlfn.SWITCH(D15,"QPSK",0.05,"16QAM",0.15,"64QAM",0.4,"256QAM",0.75,"1024QAM",1,"")</f>
        <v>1</v>
      </c>
      <c r="G15" t="s">
        <v>61</v>
      </c>
      <c r="H15">
        <v>4</v>
      </c>
      <c r="I15" t="s">
        <v>62</v>
      </c>
      <c r="J15">
        <v>2</v>
      </c>
      <c r="K15">
        <v>2</v>
      </c>
      <c r="L15" t="s">
        <v>63</v>
      </c>
      <c r="M15">
        <v>2</v>
      </c>
      <c r="N15">
        <v>0.47849999999999998</v>
      </c>
      <c r="O15">
        <v>0.47620000000000001</v>
      </c>
      <c r="P15">
        <v>10000</v>
      </c>
      <c r="Q15">
        <v>2811</v>
      </c>
      <c r="R15">
        <v>7189</v>
      </c>
      <c r="S15">
        <v>3.56</v>
      </c>
      <c r="T15">
        <v>2.56</v>
      </c>
      <c r="W15">
        <v>2578</v>
      </c>
      <c r="X15">
        <v>0</v>
      </c>
      <c r="Y15">
        <v>74.22</v>
      </c>
      <c r="Z15">
        <v>8.2899999999999991</v>
      </c>
      <c r="AB15">
        <v>594320000</v>
      </c>
      <c r="AC15">
        <v>153215696</v>
      </c>
      <c r="AD15">
        <v>594320000</v>
      </c>
      <c r="AE15">
        <v>153215696</v>
      </c>
      <c r="AG15">
        <v>91.71</v>
      </c>
      <c r="AH15">
        <v>25.78</v>
      </c>
      <c r="AI15">
        <v>1</v>
      </c>
      <c r="AJ15">
        <v>3.5574530000000002</v>
      </c>
      <c r="AK15">
        <v>0.12280000000000001</v>
      </c>
      <c r="AL15">
        <v>15.32</v>
      </c>
      <c r="AM15">
        <v>15322</v>
      </c>
      <c r="AN15">
        <v>1.6369</v>
      </c>
      <c r="AO15">
        <v>30</v>
      </c>
      <c r="AP15">
        <v>21.87</v>
      </c>
      <c r="AQ15">
        <v>0.72</v>
      </c>
      <c r="AR15">
        <v>-6.08</v>
      </c>
      <c r="AS15">
        <v>1.95</v>
      </c>
      <c r="AT15">
        <v>22.86</v>
      </c>
      <c r="AU15">
        <v>6666.69</v>
      </c>
      <c r="AV15">
        <v>35.81</v>
      </c>
      <c r="AW15">
        <v>25.43</v>
      </c>
      <c r="AX15">
        <v>21.6</v>
      </c>
      <c r="AY15">
        <v>5.8502580000000002</v>
      </c>
      <c r="AZ15">
        <v>72.533683999999994</v>
      </c>
      <c r="BA15">
        <v>-24.853636999999999</v>
      </c>
      <c r="BB15">
        <v>-3.5032019999999999</v>
      </c>
      <c r="BC15">
        <v>24.853636999999999</v>
      </c>
      <c r="BD15">
        <v>13.202825000000001</v>
      </c>
      <c r="BE15">
        <v>152.184708</v>
      </c>
      <c r="BF15">
        <v>-17.848002000000001</v>
      </c>
      <c r="BG15">
        <v>3.4261560000000002</v>
      </c>
      <c r="BH15">
        <v>17.848002000000001</v>
      </c>
    </row>
    <row r="16" spans="1:60" x14ac:dyDescent="0.25">
      <c r="A16" t="s">
        <v>90</v>
      </c>
      <c r="B16" t="s">
        <v>91</v>
      </c>
      <c r="C16">
        <v>14</v>
      </c>
      <c r="D16" t="s">
        <v>60</v>
      </c>
      <c r="E16" cm="1">
        <f t="array" ref="E16">_xlfn.SWITCH(D16,"QPSK",0.1,"16QAM",0.25,"64QAM",0.5,"256QAM",0.8,"1024QAM",1,"")</f>
        <v>1</v>
      </c>
      <c r="F16" cm="1">
        <f t="array" ref="F16">_xlfn.SWITCH(D16,"QPSK",0.05,"16QAM",0.15,"64QAM",0.4,"256QAM",0.75,"1024QAM",1,"")</f>
        <v>1</v>
      </c>
      <c r="G16" t="s">
        <v>61</v>
      </c>
      <c r="H16">
        <v>8</v>
      </c>
      <c r="I16" t="s">
        <v>62</v>
      </c>
      <c r="J16">
        <v>2</v>
      </c>
      <c r="K16">
        <v>2</v>
      </c>
      <c r="L16" t="s">
        <v>63</v>
      </c>
      <c r="M16">
        <v>2</v>
      </c>
      <c r="N16">
        <v>0.47849999999999998</v>
      </c>
      <c r="O16">
        <v>0.47620000000000001</v>
      </c>
      <c r="P16">
        <v>10000</v>
      </c>
      <c r="Q16">
        <v>2793</v>
      </c>
      <c r="R16">
        <v>7207</v>
      </c>
      <c r="S16">
        <v>3.58</v>
      </c>
      <c r="T16">
        <v>2.58</v>
      </c>
      <c r="W16">
        <v>2598</v>
      </c>
      <c r="X16">
        <v>0</v>
      </c>
      <c r="Y16">
        <v>74.02</v>
      </c>
      <c r="Z16">
        <v>6.98</v>
      </c>
      <c r="AB16">
        <v>594320000</v>
      </c>
      <c r="AC16">
        <v>154404336</v>
      </c>
      <c r="AD16">
        <v>594320000</v>
      </c>
      <c r="AE16">
        <v>154404336</v>
      </c>
      <c r="AG16">
        <v>93.02</v>
      </c>
      <c r="AH16">
        <v>25.98</v>
      </c>
      <c r="AI16">
        <v>1</v>
      </c>
      <c r="AJ16">
        <v>3.5803799999999999</v>
      </c>
      <c r="AK16">
        <v>0.1237</v>
      </c>
      <c r="AL16">
        <v>15.44</v>
      </c>
      <c r="AM16">
        <v>15440</v>
      </c>
      <c r="AN16">
        <v>1.6496</v>
      </c>
      <c r="AO16">
        <v>30</v>
      </c>
      <c r="AP16">
        <v>21.87</v>
      </c>
      <c r="AQ16">
        <v>0.72</v>
      </c>
      <c r="AR16">
        <v>-6.08</v>
      </c>
      <c r="AS16">
        <v>1.95</v>
      </c>
      <c r="AT16">
        <v>22.9</v>
      </c>
      <c r="AU16">
        <v>6666.69</v>
      </c>
      <c r="AV16">
        <v>35.81</v>
      </c>
      <c r="AW16">
        <v>25.42</v>
      </c>
      <c r="AX16">
        <v>21.6</v>
      </c>
      <c r="AY16">
        <v>5.8546079999999998</v>
      </c>
      <c r="AZ16">
        <v>72.732665999999995</v>
      </c>
      <c r="BA16">
        <v>-24.848110999999999</v>
      </c>
      <c r="BB16">
        <v>-3.491698</v>
      </c>
      <c r="BC16">
        <v>24.848110999999999</v>
      </c>
      <c r="BD16">
        <v>13.198646</v>
      </c>
      <c r="BE16">
        <v>152.64985799999999</v>
      </c>
      <c r="BF16">
        <v>-17.852872999999999</v>
      </c>
      <c r="BG16">
        <v>3.452969</v>
      </c>
      <c r="BH16">
        <v>17.852872999999999</v>
      </c>
    </row>
    <row r="17" spans="1:60" x14ac:dyDescent="0.25">
      <c r="A17" t="s">
        <v>92</v>
      </c>
      <c r="B17" t="s">
        <v>93</v>
      </c>
      <c r="C17">
        <v>16</v>
      </c>
      <c r="D17" t="s">
        <v>60</v>
      </c>
      <c r="E17" cm="1">
        <f t="array" ref="E17">_xlfn.SWITCH(D17,"QPSK",0.1,"16QAM",0.25,"64QAM",0.5,"256QAM",0.8,"1024QAM",1,"")</f>
        <v>1</v>
      </c>
      <c r="F17" cm="1">
        <f t="array" ref="F17">_xlfn.SWITCH(D17,"QPSK",0.05,"16QAM",0.15,"64QAM",0.4,"256QAM",0.75,"1024QAM",1,"")</f>
        <v>1</v>
      </c>
      <c r="G17" t="s">
        <v>61</v>
      </c>
      <c r="H17">
        <v>1</v>
      </c>
      <c r="I17" t="s">
        <v>62</v>
      </c>
      <c r="J17">
        <v>2</v>
      </c>
      <c r="K17">
        <v>2</v>
      </c>
      <c r="L17" t="s">
        <v>63</v>
      </c>
      <c r="M17">
        <v>2</v>
      </c>
      <c r="N17">
        <v>0.47849999999999998</v>
      </c>
      <c r="O17">
        <v>0.47620000000000001</v>
      </c>
      <c r="P17">
        <v>10000</v>
      </c>
      <c r="Q17">
        <v>3269</v>
      </c>
      <c r="R17">
        <v>6731</v>
      </c>
      <c r="S17">
        <v>3.06</v>
      </c>
      <c r="T17">
        <v>2.06</v>
      </c>
      <c r="W17">
        <v>3159</v>
      </c>
      <c r="X17">
        <v>0</v>
      </c>
      <c r="Y17">
        <v>68.41</v>
      </c>
      <c r="Z17">
        <v>3.36</v>
      </c>
      <c r="AB17">
        <v>594320000</v>
      </c>
      <c r="AC17">
        <v>187745688</v>
      </c>
      <c r="AD17">
        <v>594320000</v>
      </c>
      <c r="AE17">
        <v>187745688</v>
      </c>
      <c r="AG17">
        <v>96.64</v>
      </c>
      <c r="AH17">
        <v>31.59</v>
      </c>
      <c r="AI17">
        <v>1</v>
      </c>
      <c r="AJ17">
        <v>3.0590389999999998</v>
      </c>
      <c r="AK17">
        <v>0.15040000000000001</v>
      </c>
      <c r="AL17">
        <v>18.77</v>
      </c>
      <c r="AM17">
        <v>18775</v>
      </c>
      <c r="AN17">
        <v>2.0057999999999998</v>
      </c>
      <c r="AO17">
        <v>30</v>
      </c>
      <c r="AP17">
        <v>21.87</v>
      </c>
      <c r="AQ17">
        <v>0.72</v>
      </c>
      <c r="AR17">
        <v>-6.09</v>
      </c>
      <c r="AS17">
        <v>1.94</v>
      </c>
      <c r="AT17">
        <v>23.22</v>
      </c>
      <c r="AU17">
        <v>6666.69</v>
      </c>
      <c r="AV17">
        <v>35.81</v>
      </c>
      <c r="AW17">
        <v>26.15</v>
      </c>
      <c r="AX17">
        <v>21.51</v>
      </c>
      <c r="AY17">
        <v>5.2358409999999997</v>
      </c>
      <c r="AZ17">
        <v>65.481738000000007</v>
      </c>
      <c r="BA17">
        <v>-25.802921999999999</v>
      </c>
      <c r="BB17">
        <v>-4.3717699999999997</v>
      </c>
      <c r="BC17">
        <v>25.802921999999999</v>
      </c>
      <c r="BD17">
        <v>11.880144</v>
      </c>
      <c r="BE17">
        <v>147.382867</v>
      </c>
      <c r="BF17">
        <v>-18.816514999999999</v>
      </c>
      <c r="BG17">
        <v>3.095853</v>
      </c>
      <c r="BH17">
        <v>18.816514999999999</v>
      </c>
    </row>
    <row r="18" spans="1:60" x14ac:dyDescent="0.25">
      <c r="A18" t="s">
        <v>94</v>
      </c>
      <c r="B18" t="s">
        <v>95</v>
      </c>
      <c r="C18">
        <v>16</v>
      </c>
      <c r="D18" t="s">
        <v>60</v>
      </c>
      <c r="E18" cm="1">
        <f t="array" ref="E18">_xlfn.SWITCH(D18,"QPSK",0.1,"16QAM",0.25,"64QAM",0.5,"256QAM",0.8,"1024QAM",1,"")</f>
        <v>1</v>
      </c>
      <c r="F18" cm="1">
        <f t="array" ref="F18">_xlfn.SWITCH(D18,"QPSK",0.05,"16QAM",0.15,"64QAM",0.4,"256QAM",0.75,"1024QAM",1,"")</f>
        <v>1</v>
      </c>
      <c r="G18" t="s">
        <v>61</v>
      </c>
      <c r="H18">
        <v>4</v>
      </c>
      <c r="I18" t="s">
        <v>62</v>
      </c>
      <c r="J18">
        <v>2</v>
      </c>
      <c r="K18">
        <v>2</v>
      </c>
      <c r="L18" t="s">
        <v>63</v>
      </c>
      <c r="M18">
        <v>2</v>
      </c>
      <c r="N18">
        <v>0.47849999999999998</v>
      </c>
      <c r="O18">
        <v>0.47620000000000001</v>
      </c>
      <c r="P18">
        <v>10000</v>
      </c>
      <c r="Q18">
        <v>3243</v>
      </c>
      <c r="R18">
        <v>6757</v>
      </c>
      <c r="S18">
        <v>3.08</v>
      </c>
      <c r="T18">
        <v>2.08</v>
      </c>
      <c r="W18">
        <v>3148</v>
      </c>
      <c r="X18">
        <v>0</v>
      </c>
      <c r="Y18">
        <v>68.52</v>
      </c>
      <c r="Z18">
        <v>2.93</v>
      </c>
      <c r="AB18">
        <v>594320000</v>
      </c>
      <c r="AC18">
        <v>187091936</v>
      </c>
      <c r="AD18">
        <v>594320000</v>
      </c>
      <c r="AE18">
        <v>187091936</v>
      </c>
      <c r="AG18">
        <v>97.07</v>
      </c>
      <c r="AH18">
        <v>31.48</v>
      </c>
      <c r="AI18">
        <v>1</v>
      </c>
      <c r="AJ18">
        <v>3.0835650000000001</v>
      </c>
      <c r="AK18">
        <v>0.14990000000000001</v>
      </c>
      <c r="AL18">
        <v>18.71</v>
      </c>
      <c r="AM18">
        <v>18709</v>
      </c>
      <c r="AN18">
        <v>1.9987999999999999</v>
      </c>
      <c r="AO18">
        <v>30</v>
      </c>
      <c r="AP18">
        <v>21.87</v>
      </c>
      <c r="AQ18">
        <v>0.72</v>
      </c>
      <c r="AR18">
        <v>-6.09</v>
      </c>
      <c r="AS18">
        <v>1.94</v>
      </c>
      <c r="AT18">
        <v>23.23</v>
      </c>
      <c r="AU18">
        <v>6666.69</v>
      </c>
      <c r="AV18">
        <v>35.81</v>
      </c>
      <c r="AW18">
        <v>26.16</v>
      </c>
      <c r="AX18">
        <v>21.51</v>
      </c>
      <c r="AY18">
        <v>5.2352980000000002</v>
      </c>
      <c r="AZ18">
        <v>65.313321000000002</v>
      </c>
      <c r="BA18">
        <v>-25.803469</v>
      </c>
      <c r="BB18">
        <v>-4.3898979999999996</v>
      </c>
      <c r="BC18">
        <v>25.803469</v>
      </c>
      <c r="BD18">
        <v>11.884544999999999</v>
      </c>
      <c r="BE18">
        <v>147.45514499999999</v>
      </c>
      <c r="BF18">
        <v>-18.813873000000001</v>
      </c>
      <c r="BG18">
        <v>3.0998749999999999</v>
      </c>
      <c r="BH18">
        <v>18.813873000000001</v>
      </c>
    </row>
    <row r="19" spans="1:60" x14ac:dyDescent="0.25">
      <c r="A19" t="s">
        <v>96</v>
      </c>
      <c r="B19" t="s">
        <v>97</v>
      </c>
      <c r="C19">
        <v>16</v>
      </c>
      <c r="D19" t="s">
        <v>60</v>
      </c>
      <c r="E19" cm="1">
        <f t="array" ref="E19">_xlfn.SWITCH(D19,"QPSK",0.1,"16QAM",0.25,"64QAM",0.5,"256QAM",0.8,"1024QAM",1,"")</f>
        <v>1</v>
      </c>
      <c r="F19" cm="1">
        <f t="array" ref="F19">_xlfn.SWITCH(D19,"QPSK",0.05,"16QAM",0.15,"64QAM",0.4,"256QAM",0.75,"1024QAM",1,"")</f>
        <v>1</v>
      </c>
      <c r="G19" t="s">
        <v>61</v>
      </c>
      <c r="H19">
        <v>8</v>
      </c>
      <c r="I19" t="s">
        <v>62</v>
      </c>
      <c r="J19">
        <v>2</v>
      </c>
      <c r="K19">
        <v>2</v>
      </c>
      <c r="L19" t="s">
        <v>63</v>
      </c>
      <c r="M19">
        <v>2</v>
      </c>
      <c r="N19">
        <v>0.47849999999999998</v>
      </c>
      <c r="O19">
        <v>0.47620000000000001</v>
      </c>
      <c r="P19">
        <v>10000</v>
      </c>
      <c r="Q19">
        <v>3234</v>
      </c>
      <c r="R19">
        <v>6766</v>
      </c>
      <c r="S19">
        <v>3.09</v>
      </c>
      <c r="T19">
        <v>2.09</v>
      </c>
      <c r="W19">
        <v>3164</v>
      </c>
      <c r="X19">
        <v>0</v>
      </c>
      <c r="Y19">
        <v>68.36</v>
      </c>
      <c r="Z19">
        <v>2.16</v>
      </c>
      <c r="AB19">
        <v>594320000</v>
      </c>
      <c r="AC19">
        <v>188042848</v>
      </c>
      <c r="AD19">
        <v>594320000</v>
      </c>
      <c r="AE19">
        <v>188042848</v>
      </c>
      <c r="AG19">
        <v>97.84</v>
      </c>
      <c r="AH19">
        <v>31.64</v>
      </c>
      <c r="AI19">
        <v>1</v>
      </c>
      <c r="AJ19">
        <v>3.0921460000000001</v>
      </c>
      <c r="AK19">
        <v>0.1507</v>
      </c>
      <c r="AL19">
        <v>18.8</v>
      </c>
      <c r="AM19">
        <v>18804</v>
      </c>
      <c r="AN19">
        <v>2.0089999999999999</v>
      </c>
      <c r="AO19">
        <v>30</v>
      </c>
      <c r="AP19">
        <v>21.87</v>
      </c>
      <c r="AQ19">
        <v>0.72</v>
      </c>
      <c r="AR19">
        <v>-6.09</v>
      </c>
      <c r="AS19">
        <v>1.94</v>
      </c>
      <c r="AT19">
        <v>23.43</v>
      </c>
      <c r="AU19">
        <v>6666.69</v>
      </c>
      <c r="AV19">
        <v>35.81</v>
      </c>
      <c r="AW19">
        <v>26.15</v>
      </c>
      <c r="AX19">
        <v>21.5</v>
      </c>
      <c r="AY19">
        <v>5.2372529999999999</v>
      </c>
      <c r="AZ19">
        <v>65.508779000000004</v>
      </c>
      <c r="BA19">
        <v>-25.800246000000001</v>
      </c>
      <c r="BB19">
        <v>-4.3719530000000004</v>
      </c>
      <c r="BC19">
        <v>25.800246000000001</v>
      </c>
      <c r="BD19">
        <v>11.891901000000001</v>
      </c>
      <c r="BE19">
        <v>147.51825199999999</v>
      </c>
      <c r="BF19">
        <v>-18.809474999999999</v>
      </c>
      <c r="BG19">
        <v>3.103418</v>
      </c>
      <c r="BH19">
        <v>18.809474999999999</v>
      </c>
    </row>
    <row r="20" spans="1:60" x14ac:dyDescent="0.25">
      <c r="A20" t="s">
        <v>98</v>
      </c>
      <c r="B20" t="s">
        <v>99</v>
      </c>
      <c r="C20">
        <v>18</v>
      </c>
      <c r="D20" t="s">
        <v>60</v>
      </c>
      <c r="E20" cm="1">
        <f t="array" ref="E20">_xlfn.SWITCH(D20,"QPSK",0.1,"16QAM",0.25,"64QAM",0.5,"256QAM",0.8,"1024QAM",1,"")</f>
        <v>1</v>
      </c>
      <c r="F20" cm="1">
        <f t="array" ref="F20">_xlfn.SWITCH(D20,"QPSK",0.05,"16QAM",0.15,"64QAM",0.4,"256QAM",0.75,"1024QAM",1,"")</f>
        <v>1</v>
      </c>
      <c r="G20" t="s">
        <v>61</v>
      </c>
      <c r="H20">
        <v>1</v>
      </c>
      <c r="I20" t="s">
        <v>62</v>
      </c>
      <c r="J20">
        <v>2</v>
      </c>
      <c r="K20">
        <v>2</v>
      </c>
      <c r="L20" t="s">
        <v>63</v>
      </c>
      <c r="M20">
        <v>2</v>
      </c>
      <c r="N20">
        <v>0.47849999999999998</v>
      </c>
      <c r="O20">
        <v>0.47620000000000001</v>
      </c>
      <c r="P20">
        <v>10000</v>
      </c>
      <c r="Q20">
        <v>3811</v>
      </c>
      <c r="R20">
        <v>6189</v>
      </c>
      <c r="S20">
        <v>2.62</v>
      </c>
      <c r="T20">
        <v>1.62</v>
      </c>
      <c r="W20">
        <v>3774</v>
      </c>
      <c r="X20">
        <v>0</v>
      </c>
      <c r="Y20">
        <v>62.26</v>
      </c>
      <c r="Z20">
        <v>0.97</v>
      </c>
      <c r="AB20">
        <v>594320000</v>
      </c>
      <c r="AC20">
        <v>224296368</v>
      </c>
      <c r="AD20">
        <v>594320000</v>
      </c>
      <c r="AE20">
        <v>224296368</v>
      </c>
      <c r="AG20">
        <v>99.03</v>
      </c>
      <c r="AH20">
        <v>37.74</v>
      </c>
      <c r="AI20">
        <v>1</v>
      </c>
      <c r="AJ20">
        <v>2.623983</v>
      </c>
      <c r="AK20">
        <v>0.1797</v>
      </c>
      <c r="AL20">
        <v>22.43</v>
      </c>
      <c r="AM20">
        <v>22430</v>
      </c>
      <c r="AN20">
        <v>2.3963000000000001</v>
      </c>
      <c r="AO20">
        <v>30</v>
      </c>
      <c r="AP20">
        <v>21.87</v>
      </c>
      <c r="AQ20">
        <v>0.72</v>
      </c>
      <c r="AR20">
        <v>-6.1</v>
      </c>
      <c r="AS20">
        <v>1.93</v>
      </c>
      <c r="AT20">
        <v>24.41</v>
      </c>
      <c r="AU20">
        <v>6666.69</v>
      </c>
      <c r="AV20">
        <v>35.81</v>
      </c>
      <c r="AW20">
        <v>26.9</v>
      </c>
      <c r="AX20">
        <v>21.75</v>
      </c>
      <c r="AY20">
        <v>4.7122169999999999</v>
      </c>
      <c r="AZ20">
        <v>57.507050999999997</v>
      </c>
      <c r="BA20">
        <v>-26.699078</v>
      </c>
      <c r="BB20">
        <v>-5.4900450000000003</v>
      </c>
      <c r="BC20">
        <v>26.699078</v>
      </c>
      <c r="BD20">
        <v>10.593251</v>
      </c>
      <c r="BE20">
        <v>140.172473</v>
      </c>
      <c r="BF20">
        <v>-19.896260999999999</v>
      </c>
      <c r="BG20">
        <v>2.563148</v>
      </c>
      <c r="BH20">
        <v>19.896260999999999</v>
      </c>
    </row>
    <row r="21" spans="1:60" x14ac:dyDescent="0.25">
      <c r="A21" t="s">
        <v>100</v>
      </c>
      <c r="B21" t="s">
        <v>101</v>
      </c>
      <c r="C21">
        <v>18</v>
      </c>
      <c r="D21" t="s">
        <v>60</v>
      </c>
      <c r="E21" cm="1">
        <f t="array" ref="E21">_xlfn.SWITCH(D21,"QPSK",0.1,"16QAM",0.25,"64QAM",0.5,"256QAM",0.8,"1024QAM",1,"")</f>
        <v>1</v>
      </c>
      <c r="F21" cm="1">
        <f t="array" ref="F21">_xlfn.SWITCH(D21,"QPSK",0.05,"16QAM",0.15,"64QAM",0.4,"256QAM",0.75,"1024QAM",1,"")</f>
        <v>1</v>
      </c>
      <c r="G21" t="s">
        <v>61</v>
      </c>
      <c r="H21">
        <v>4</v>
      </c>
      <c r="I21" t="s">
        <v>62</v>
      </c>
      <c r="J21">
        <v>2</v>
      </c>
      <c r="K21">
        <v>2</v>
      </c>
      <c r="L21" t="s">
        <v>63</v>
      </c>
      <c r="M21">
        <v>2</v>
      </c>
      <c r="N21">
        <v>0.47849999999999998</v>
      </c>
      <c r="O21">
        <v>0.47620000000000001</v>
      </c>
      <c r="P21">
        <v>10000</v>
      </c>
      <c r="Q21">
        <v>3799</v>
      </c>
      <c r="R21">
        <v>6201</v>
      </c>
      <c r="S21">
        <v>2.63</v>
      </c>
      <c r="T21">
        <v>1.63</v>
      </c>
      <c r="W21">
        <v>3774</v>
      </c>
      <c r="X21">
        <v>0</v>
      </c>
      <c r="Y21">
        <v>62.26</v>
      </c>
      <c r="Z21">
        <v>0.66</v>
      </c>
      <c r="AB21">
        <v>594320000</v>
      </c>
      <c r="AC21">
        <v>224296368</v>
      </c>
      <c r="AD21">
        <v>594320000</v>
      </c>
      <c r="AE21">
        <v>224296368</v>
      </c>
      <c r="AG21">
        <v>99.34</v>
      </c>
      <c r="AH21">
        <v>37.74</v>
      </c>
      <c r="AI21">
        <v>1</v>
      </c>
      <c r="AJ21">
        <v>2.6322719999999999</v>
      </c>
      <c r="AK21">
        <v>0.1797</v>
      </c>
      <c r="AL21">
        <v>22.43</v>
      </c>
      <c r="AM21">
        <v>22430</v>
      </c>
      <c r="AN21">
        <v>2.3963000000000001</v>
      </c>
      <c r="AO21">
        <v>30</v>
      </c>
      <c r="AP21">
        <v>21.87</v>
      </c>
      <c r="AQ21">
        <v>0.72</v>
      </c>
      <c r="AR21">
        <v>-6.1</v>
      </c>
      <c r="AS21">
        <v>1.93</v>
      </c>
      <c r="AT21">
        <v>24.51</v>
      </c>
      <c r="AU21">
        <v>6666.69</v>
      </c>
      <c r="AV21">
        <v>35.81</v>
      </c>
      <c r="AW21">
        <v>26.91</v>
      </c>
      <c r="AX21">
        <v>21.76</v>
      </c>
      <c r="AY21">
        <v>4.7093230000000004</v>
      </c>
      <c r="AZ21">
        <v>57.605812</v>
      </c>
      <c r="BA21">
        <v>-26.702824</v>
      </c>
      <c r="BB21">
        <v>-5.4765459999999999</v>
      </c>
      <c r="BC21">
        <v>26.702824</v>
      </c>
      <c r="BD21">
        <v>10.587592000000001</v>
      </c>
      <c r="BE21">
        <v>140.30318700000001</v>
      </c>
      <c r="BF21">
        <v>-19.902839</v>
      </c>
      <c r="BG21">
        <v>2.5660240000000001</v>
      </c>
      <c r="BH21">
        <v>19.902839</v>
      </c>
    </row>
    <row r="22" spans="1:60" x14ac:dyDescent="0.25">
      <c r="A22" t="s">
        <v>102</v>
      </c>
      <c r="B22" t="s">
        <v>103</v>
      </c>
      <c r="C22">
        <v>18</v>
      </c>
      <c r="D22" t="s">
        <v>60</v>
      </c>
      <c r="E22" cm="1">
        <f t="array" ref="E22">_xlfn.SWITCH(D22,"QPSK",0.1,"16QAM",0.25,"64QAM",0.5,"256QAM",0.8,"1024QAM",1,"")</f>
        <v>1</v>
      </c>
      <c r="F22" cm="1">
        <f t="array" ref="F22">_xlfn.SWITCH(D22,"QPSK",0.05,"16QAM",0.15,"64QAM",0.4,"256QAM",0.75,"1024QAM",1,"")</f>
        <v>1</v>
      </c>
      <c r="G22" t="s">
        <v>61</v>
      </c>
      <c r="H22">
        <v>8</v>
      </c>
      <c r="I22" t="s">
        <v>62</v>
      </c>
      <c r="J22">
        <v>2</v>
      </c>
      <c r="K22">
        <v>2</v>
      </c>
      <c r="L22" t="s">
        <v>63</v>
      </c>
      <c r="M22">
        <v>2</v>
      </c>
      <c r="N22">
        <v>0.47849999999999998</v>
      </c>
      <c r="O22">
        <v>0.47620000000000001</v>
      </c>
      <c r="P22">
        <v>10000</v>
      </c>
      <c r="Q22">
        <v>3776</v>
      </c>
      <c r="R22">
        <v>6224</v>
      </c>
      <c r="S22">
        <v>2.65</v>
      </c>
      <c r="T22">
        <v>1.65</v>
      </c>
      <c r="W22">
        <v>3752</v>
      </c>
      <c r="X22">
        <v>0</v>
      </c>
      <c r="Y22">
        <v>62.48</v>
      </c>
      <c r="Z22">
        <v>0.64</v>
      </c>
      <c r="AB22">
        <v>594320000</v>
      </c>
      <c r="AC22">
        <v>222988864</v>
      </c>
      <c r="AD22">
        <v>594320000</v>
      </c>
      <c r="AE22">
        <v>222988864</v>
      </c>
      <c r="AG22">
        <v>99.36</v>
      </c>
      <c r="AH22">
        <v>37.520000000000003</v>
      </c>
      <c r="AI22">
        <v>1</v>
      </c>
      <c r="AJ22">
        <v>2.6483050000000001</v>
      </c>
      <c r="AK22">
        <v>0.1787</v>
      </c>
      <c r="AL22">
        <v>22.3</v>
      </c>
      <c r="AM22">
        <v>22299</v>
      </c>
      <c r="AN22">
        <v>2.3824000000000001</v>
      </c>
      <c r="AO22">
        <v>30</v>
      </c>
      <c r="AP22">
        <v>21.87</v>
      </c>
      <c r="AQ22">
        <v>0.72</v>
      </c>
      <c r="AR22">
        <v>-6.1</v>
      </c>
      <c r="AS22">
        <v>1.93</v>
      </c>
      <c r="AT22">
        <v>24.17</v>
      </c>
      <c r="AU22">
        <v>6666.69</v>
      </c>
      <c r="AV22">
        <v>35.81</v>
      </c>
      <c r="AW22">
        <v>26.9</v>
      </c>
      <c r="AX22">
        <v>21.74</v>
      </c>
      <c r="AY22">
        <v>4.7141440000000001</v>
      </c>
      <c r="AZ22">
        <v>57.870004999999999</v>
      </c>
      <c r="BA22">
        <v>-26.695376</v>
      </c>
      <c r="BB22">
        <v>-5.4507700000000003</v>
      </c>
      <c r="BC22">
        <v>26.695376</v>
      </c>
      <c r="BD22">
        <v>10.601438</v>
      </c>
      <c r="BE22">
        <v>140.844673</v>
      </c>
      <c r="BF22">
        <v>-19.892118</v>
      </c>
      <c r="BG22">
        <v>2.5946739999999999</v>
      </c>
      <c r="BH22">
        <v>19.892118</v>
      </c>
    </row>
    <row r="23" spans="1:60" x14ac:dyDescent="0.25">
      <c r="A23" t="s">
        <v>104</v>
      </c>
      <c r="B23" t="s">
        <v>105</v>
      </c>
      <c r="C23">
        <v>2</v>
      </c>
      <c r="D23" t="s">
        <v>60</v>
      </c>
      <c r="E23" cm="1">
        <f t="array" ref="E23">_xlfn.SWITCH(D23,"QPSK",0.1,"16QAM",0.25,"64QAM",0.5,"256QAM",0.8,"1024QAM",1,"")</f>
        <v>1</v>
      </c>
      <c r="F23" cm="1">
        <f t="array" ref="F23">_xlfn.SWITCH(D23,"QPSK",0.05,"16QAM",0.15,"64QAM",0.4,"256QAM",0.75,"1024QAM",1,"")</f>
        <v>1</v>
      </c>
      <c r="G23" t="s">
        <v>61</v>
      </c>
      <c r="H23">
        <v>1</v>
      </c>
      <c r="I23" t="s">
        <v>62</v>
      </c>
      <c r="J23">
        <v>2</v>
      </c>
      <c r="K23">
        <v>2</v>
      </c>
      <c r="L23" t="s">
        <v>63</v>
      </c>
      <c r="M23">
        <v>2</v>
      </c>
      <c r="N23">
        <v>0.47849999999999998</v>
      </c>
      <c r="O23">
        <v>0.47620000000000001</v>
      </c>
      <c r="P23">
        <v>10000</v>
      </c>
      <c r="Q23">
        <v>2500</v>
      </c>
      <c r="R23">
        <v>7500</v>
      </c>
      <c r="S23">
        <v>4</v>
      </c>
      <c r="T23">
        <v>3</v>
      </c>
      <c r="W23">
        <v>0</v>
      </c>
      <c r="X23">
        <v>0</v>
      </c>
      <c r="Y23">
        <v>100</v>
      </c>
      <c r="Z23">
        <v>100</v>
      </c>
      <c r="AB23">
        <v>594320000</v>
      </c>
      <c r="AC23">
        <v>0</v>
      </c>
      <c r="AD23">
        <v>594320000</v>
      </c>
      <c r="AE23">
        <v>0</v>
      </c>
      <c r="AG23">
        <v>0</v>
      </c>
      <c r="AH23">
        <v>0</v>
      </c>
      <c r="AI23">
        <v>1</v>
      </c>
      <c r="AJ23">
        <v>4</v>
      </c>
      <c r="AK23">
        <v>0</v>
      </c>
      <c r="AL23">
        <v>0</v>
      </c>
      <c r="AM23">
        <v>0</v>
      </c>
      <c r="AN23">
        <v>0</v>
      </c>
      <c r="AO23">
        <v>30</v>
      </c>
      <c r="AP23">
        <v>21.87</v>
      </c>
      <c r="AQ23">
        <v>0.72</v>
      </c>
      <c r="AR23">
        <v>-5.96</v>
      </c>
      <c r="AS23">
        <v>1.86</v>
      </c>
      <c r="AT23">
        <v>12.53</v>
      </c>
      <c r="AU23">
        <v>6666.69</v>
      </c>
      <c r="AV23">
        <v>35.81</v>
      </c>
      <c r="AW23">
        <v>23.67</v>
      </c>
      <c r="AX23">
        <v>23.05</v>
      </c>
      <c r="AY23">
        <v>12.732722000000001</v>
      </c>
      <c r="AZ23">
        <v>122.104091</v>
      </c>
      <c r="BA23">
        <v>-18.024338</v>
      </c>
      <c r="BB23">
        <v>1.5687120000000001</v>
      </c>
      <c r="BC23">
        <v>18.024338</v>
      </c>
      <c r="BD23">
        <v>21.652683</v>
      </c>
      <c r="BE23">
        <v>220.51995500000001</v>
      </c>
      <c r="BF23">
        <v>-13.45698</v>
      </c>
      <c r="BG23">
        <v>6.5663830000000001</v>
      </c>
      <c r="BH23">
        <v>13.45698</v>
      </c>
    </row>
    <row r="24" spans="1:60" x14ac:dyDescent="0.25">
      <c r="A24" t="s">
        <v>106</v>
      </c>
      <c r="B24" t="s">
        <v>107</v>
      </c>
      <c r="C24">
        <v>2</v>
      </c>
      <c r="D24" t="s">
        <v>60</v>
      </c>
      <c r="E24" cm="1">
        <f t="array" ref="E24">_xlfn.SWITCH(D24,"QPSK",0.1,"16QAM",0.25,"64QAM",0.5,"256QAM",0.8,"1024QAM",1,"")</f>
        <v>1</v>
      </c>
      <c r="F24" cm="1">
        <f t="array" ref="F24">_xlfn.SWITCH(D24,"QPSK",0.05,"16QAM",0.15,"64QAM",0.4,"256QAM",0.75,"1024QAM",1,"")</f>
        <v>1</v>
      </c>
      <c r="G24" t="s">
        <v>61</v>
      </c>
      <c r="H24">
        <v>4</v>
      </c>
      <c r="I24" t="s">
        <v>62</v>
      </c>
      <c r="J24">
        <v>2</v>
      </c>
      <c r="K24">
        <v>2</v>
      </c>
      <c r="L24" t="s">
        <v>63</v>
      </c>
      <c r="M24">
        <v>2</v>
      </c>
      <c r="N24">
        <v>0.47849999999999998</v>
      </c>
      <c r="O24">
        <v>0.47620000000000001</v>
      </c>
      <c r="P24">
        <v>10000</v>
      </c>
      <c r="Q24">
        <v>2500</v>
      </c>
      <c r="R24">
        <v>7500</v>
      </c>
      <c r="S24">
        <v>4</v>
      </c>
      <c r="T24">
        <v>3</v>
      </c>
      <c r="W24">
        <v>0</v>
      </c>
      <c r="X24">
        <v>0</v>
      </c>
      <c r="Y24">
        <v>100</v>
      </c>
      <c r="Z24">
        <v>100</v>
      </c>
      <c r="AB24">
        <v>594320000</v>
      </c>
      <c r="AC24">
        <v>0</v>
      </c>
      <c r="AD24">
        <v>594320000</v>
      </c>
      <c r="AE24">
        <v>0</v>
      </c>
      <c r="AG24">
        <v>0</v>
      </c>
      <c r="AH24">
        <v>0</v>
      </c>
      <c r="AI24">
        <v>1</v>
      </c>
      <c r="AJ24">
        <v>4</v>
      </c>
      <c r="AK24">
        <v>0</v>
      </c>
      <c r="AL24">
        <v>0</v>
      </c>
      <c r="AM24">
        <v>0</v>
      </c>
      <c r="AN24">
        <v>0</v>
      </c>
      <c r="AO24">
        <v>30</v>
      </c>
      <c r="AP24">
        <v>21.87</v>
      </c>
      <c r="AQ24">
        <v>0.72</v>
      </c>
      <c r="AR24">
        <v>-5.96</v>
      </c>
      <c r="AS24">
        <v>1.87</v>
      </c>
      <c r="AT24">
        <v>12.46</v>
      </c>
      <c r="AU24">
        <v>6666.69</v>
      </c>
      <c r="AV24">
        <v>35.81</v>
      </c>
      <c r="AW24">
        <v>23.67</v>
      </c>
      <c r="AX24">
        <v>23.04</v>
      </c>
      <c r="AY24">
        <v>12.728752</v>
      </c>
      <c r="AZ24">
        <v>122.042677</v>
      </c>
      <c r="BA24">
        <v>-18.026866999999999</v>
      </c>
      <c r="BB24">
        <v>1.5624819999999999</v>
      </c>
      <c r="BC24">
        <v>18.026866999999999</v>
      </c>
      <c r="BD24">
        <v>21.673646000000002</v>
      </c>
      <c r="BE24">
        <v>220.783444</v>
      </c>
      <c r="BF24">
        <v>-13.450264000000001</v>
      </c>
      <c r="BG24">
        <v>6.5735489999999999</v>
      </c>
      <c r="BH24">
        <v>13.450264000000001</v>
      </c>
    </row>
    <row r="25" spans="1:60" x14ac:dyDescent="0.25">
      <c r="A25" t="s">
        <v>108</v>
      </c>
      <c r="B25" t="s">
        <v>109</v>
      </c>
      <c r="C25">
        <v>2</v>
      </c>
      <c r="D25" t="s">
        <v>60</v>
      </c>
      <c r="E25" cm="1">
        <f t="array" ref="E25">_xlfn.SWITCH(D25,"QPSK",0.1,"16QAM",0.25,"64QAM",0.5,"256QAM",0.8,"1024QAM",1,"")</f>
        <v>1</v>
      </c>
      <c r="F25" cm="1">
        <f t="array" ref="F25">_xlfn.SWITCH(D25,"QPSK",0.05,"16QAM",0.15,"64QAM",0.4,"256QAM",0.75,"1024QAM",1,"")</f>
        <v>1</v>
      </c>
      <c r="G25" t="s">
        <v>61</v>
      </c>
      <c r="H25">
        <v>8</v>
      </c>
      <c r="I25" t="s">
        <v>62</v>
      </c>
      <c r="J25">
        <v>2</v>
      </c>
      <c r="K25">
        <v>2</v>
      </c>
      <c r="L25" t="s">
        <v>63</v>
      </c>
      <c r="M25">
        <v>2</v>
      </c>
      <c r="N25">
        <v>0.47849999999999998</v>
      </c>
      <c r="O25">
        <v>0.47620000000000001</v>
      </c>
      <c r="P25">
        <v>10000</v>
      </c>
      <c r="Q25">
        <v>2504</v>
      </c>
      <c r="R25">
        <v>7496</v>
      </c>
      <c r="S25">
        <v>3.99</v>
      </c>
      <c r="T25">
        <v>2.99</v>
      </c>
      <c r="W25">
        <v>0</v>
      </c>
      <c r="X25">
        <v>0</v>
      </c>
      <c r="Y25">
        <v>100</v>
      </c>
      <c r="Z25">
        <v>100</v>
      </c>
      <c r="AB25">
        <v>594320000</v>
      </c>
      <c r="AC25">
        <v>0</v>
      </c>
      <c r="AD25">
        <v>594320000</v>
      </c>
      <c r="AE25">
        <v>0</v>
      </c>
      <c r="AG25">
        <v>0</v>
      </c>
      <c r="AH25">
        <v>0</v>
      </c>
      <c r="AI25">
        <v>1</v>
      </c>
      <c r="AJ25">
        <v>3.9936099999999999</v>
      </c>
      <c r="AK25">
        <v>0</v>
      </c>
      <c r="AL25">
        <v>0</v>
      </c>
      <c r="AM25">
        <v>0</v>
      </c>
      <c r="AN25">
        <v>0</v>
      </c>
      <c r="AO25">
        <v>30</v>
      </c>
      <c r="AP25">
        <v>21.87</v>
      </c>
      <c r="AQ25">
        <v>0.72</v>
      </c>
      <c r="AR25">
        <v>-5.96</v>
      </c>
      <c r="AS25">
        <v>1.86</v>
      </c>
      <c r="AT25">
        <v>12.58</v>
      </c>
      <c r="AU25">
        <v>6666.69</v>
      </c>
      <c r="AV25">
        <v>35.81</v>
      </c>
      <c r="AW25">
        <v>23.68</v>
      </c>
      <c r="AX25">
        <v>23.04</v>
      </c>
      <c r="AY25">
        <v>12.729759</v>
      </c>
      <c r="AZ25">
        <v>122.00459499999999</v>
      </c>
      <c r="BA25">
        <v>-18.026146000000001</v>
      </c>
      <c r="BB25">
        <v>1.5616479999999999</v>
      </c>
      <c r="BC25">
        <v>18.026146000000001</v>
      </c>
      <c r="BD25">
        <v>21.663727999999999</v>
      </c>
      <c r="BE25">
        <v>220.996216</v>
      </c>
      <c r="BF25">
        <v>-13.453306</v>
      </c>
      <c r="BG25">
        <v>6.5780329999999996</v>
      </c>
      <c r="BH25">
        <v>13.453306</v>
      </c>
    </row>
    <row r="26" spans="1:60" x14ac:dyDescent="0.25">
      <c r="A26" t="s">
        <v>110</v>
      </c>
      <c r="B26" t="s">
        <v>111</v>
      </c>
      <c r="C26">
        <v>20</v>
      </c>
      <c r="D26" t="s">
        <v>60</v>
      </c>
      <c r="E26" cm="1">
        <f t="array" ref="E26">_xlfn.SWITCH(D26,"QPSK",0.1,"16QAM",0.25,"64QAM",0.5,"256QAM",0.8,"1024QAM",1,"")</f>
        <v>1</v>
      </c>
      <c r="F26" cm="1">
        <f t="array" ref="F26">_xlfn.SWITCH(D26,"QPSK",0.05,"16QAM",0.15,"64QAM",0.4,"256QAM",0.75,"1024QAM",1,"")</f>
        <v>1</v>
      </c>
      <c r="G26" t="s">
        <v>61</v>
      </c>
      <c r="H26">
        <v>1</v>
      </c>
      <c r="I26" t="s">
        <v>62</v>
      </c>
      <c r="J26">
        <v>2</v>
      </c>
      <c r="K26">
        <v>2</v>
      </c>
      <c r="L26" t="s">
        <v>63</v>
      </c>
      <c r="M26">
        <v>2</v>
      </c>
      <c r="N26">
        <v>0.47849999999999998</v>
      </c>
      <c r="O26">
        <v>0.47620000000000001</v>
      </c>
      <c r="P26">
        <v>10000</v>
      </c>
      <c r="Q26">
        <v>4296</v>
      </c>
      <c r="R26">
        <v>5704</v>
      </c>
      <c r="S26">
        <v>2.33</v>
      </c>
      <c r="T26">
        <v>1.33</v>
      </c>
      <c r="W26">
        <v>4290</v>
      </c>
      <c r="X26">
        <v>0</v>
      </c>
      <c r="Y26">
        <v>57.1</v>
      </c>
      <c r="Z26">
        <v>0.14000000000000001</v>
      </c>
      <c r="AB26">
        <v>594320000</v>
      </c>
      <c r="AC26">
        <v>254963280</v>
      </c>
      <c r="AD26">
        <v>594320000</v>
      </c>
      <c r="AE26">
        <v>254963280</v>
      </c>
      <c r="AG26">
        <v>99.86</v>
      </c>
      <c r="AH26">
        <v>42.9</v>
      </c>
      <c r="AI26">
        <v>1</v>
      </c>
      <c r="AJ26">
        <v>2.327747</v>
      </c>
      <c r="AK26">
        <v>0.20430000000000001</v>
      </c>
      <c r="AL26">
        <v>25.5</v>
      </c>
      <c r="AM26">
        <v>25496</v>
      </c>
      <c r="AN26">
        <v>2.7240000000000002</v>
      </c>
      <c r="AO26">
        <v>30</v>
      </c>
      <c r="AP26">
        <v>21.87</v>
      </c>
      <c r="AQ26">
        <v>0.72</v>
      </c>
      <c r="AR26">
        <v>-6.11</v>
      </c>
      <c r="AS26">
        <v>1.94</v>
      </c>
      <c r="AT26">
        <v>26.01</v>
      </c>
      <c r="AU26">
        <v>6666.69</v>
      </c>
      <c r="AV26">
        <v>35.81</v>
      </c>
      <c r="AW26">
        <v>27.62</v>
      </c>
      <c r="AX26">
        <v>22.27</v>
      </c>
      <c r="AY26">
        <v>4.2777209999999997</v>
      </c>
      <c r="AZ26">
        <v>49.806213</v>
      </c>
      <c r="BA26">
        <v>-27.503935999999999</v>
      </c>
      <c r="BB26">
        <v>-6.7569569999999999</v>
      </c>
      <c r="BC26">
        <v>27.503935999999999</v>
      </c>
      <c r="BD26">
        <v>9.3595799999999993</v>
      </c>
      <c r="BE26">
        <v>131.287982</v>
      </c>
      <c r="BF26">
        <v>-21.026337000000002</v>
      </c>
      <c r="BG26">
        <v>1.9090499999999999</v>
      </c>
      <c r="BH26">
        <v>21.026337000000002</v>
      </c>
    </row>
    <row r="27" spans="1:60" x14ac:dyDescent="0.25">
      <c r="A27" t="s">
        <v>112</v>
      </c>
      <c r="B27" t="s">
        <v>113</v>
      </c>
      <c r="C27">
        <v>20</v>
      </c>
      <c r="D27" t="s">
        <v>60</v>
      </c>
      <c r="E27" cm="1">
        <f t="array" ref="E27">_xlfn.SWITCH(D27,"QPSK",0.1,"16QAM",0.25,"64QAM",0.5,"256QAM",0.8,"1024QAM",1,"")</f>
        <v>1</v>
      </c>
      <c r="F27" cm="1">
        <f t="array" ref="F27">_xlfn.SWITCH(D27,"QPSK",0.05,"16QAM",0.15,"64QAM",0.4,"256QAM",0.75,"1024QAM",1,"")</f>
        <v>1</v>
      </c>
      <c r="G27" t="s">
        <v>61</v>
      </c>
      <c r="H27">
        <v>4</v>
      </c>
      <c r="I27" t="s">
        <v>62</v>
      </c>
      <c r="J27">
        <v>2</v>
      </c>
      <c r="K27">
        <v>2</v>
      </c>
      <c r="L27" t="s">
        <v>63</v>
      </c>
      <c r="M27">
        <v>2</v>
      </c>
      <c r="N27">
        <v>0.47849999999999998</v>
      </c>
      <c r="O27">
        <v>0.47620000000000001</v>
      </c>
      <c r="P27">
        <v>10000</v>
      </c>
      <c r="Q27">
        <v>4275</v>
      </c>
      <c r="R27">
        <v>5725</v>
      </c>
      <c r="S27">
        <v>2.34</v>
      </c>
      <c r="T27">
        <v>1.34</v>
      </c>
      <c r="W27">
        <v>4268</v>
      </c>
      <c r="X27">
        <v>0</v>
      </c>
      <c r="Y27">
        <v>57.32</v>
      </c>
      <c r="Z27">
        <v>0.16</v>
      </c>
      <c r="AB27">
        <v>594320000</v>
      </c>
      <c r="AC27">
        <v>253655776</v>
      </c>
      <c r="AD27">
        <v>594320000</v>
      </c>
      <c r="AE27">
        <v>253655776</v>
      </c>
      <c r="AG27">
        <v>99.84</v>
      </c>
      <c r="AH27">
        <v>42.68</v>
      </c>
      <c r="AI27">
        <v>1</v>
      </c>
      <c r="AJ27">
        <v>2.339181</v>
      </c>
      <c r="AK27">
        <v>0.20319999999999999</v>
      </c>
      <c r="AL27">
        <v>25.37</v>
      </c>
      <c r="AM27">
        <v>25366</v>
      </c>
      <c r="AN27">
        <v>2.71</v>
      </c>
      <c r="AO27">
        <v>30</v>
      </c>
      <c r="AP27">
        <v>21.87</v>
      </c>
      <c r="AQ27">
        <v>0.72</v>
      </c>
      <c r="AR27">
        <v>-6.11</v>
      </c>
      <c r="AS27">
        <v>1.94</v>
      </c>
      <c r="AT27">
        <v>25.88</v>
      </c>
      <c r="AU27">
        <v>6666.69</v>
      </c>
      <c r="AV27">
        <v>35.81</v>
      </c>
      <c r="AW27">
        <v>27.61</v>
      </c>
      <c r="AX27">
        <v>22.24</v>
      </c>
      <c r="AY27">
        <v>4.2801799999999997</v>
      </c>
      <c r="AZ27">
        <v>49.633763000000002</v>
      </c>
      <c r="BA27">
        <v>-27.497785</v>
      </c>
      <c r="BB27">
        <v>-6.7654319999999997</v>
      </c>
      <c r="BC27">
        <v>27.497785</v>
      </c>
      <c r="BD27">
        <v>9.3767230000000001</v>
      </c>
      <c r="BE27">
        <v>132.363066</v>
      </c>
      <c r="BF27">
        <v>-21.008351000000001</v>
      </c>
      <c r="BG27">
        <v>1.9723440000000001</v>
      </c>
      <c r="BH27">
        <v>21.008351000000001</v>
      </c>
    </row>
    <row r="28" spans="1:60" x14ac:dyDescent="0.25">
      <c r="A28" t="s">
        <v>114</v>
      </c>
      <c r="B28" t="s">
        <v>115</v>
      </c>
      <c r="C28">
        <v>20</v>
      </c>
      <c r="D28" t="s">
        <v>60</v>
      </c>
      <c r="E28" cm="1">
        <f t="array" ref="E28">_xlfn.SWITCH(D28,"QPSK",0.1,"16QAM",0.25,"64QAM",0.5,"256QAM",0.8,"1024QAM",1,"")</f>
        <v>1</v>
      </c>
      <c r="F28" cm="1">
        <f t="array" ref="F28">_xlfn.SWITCH(D28,"QPSK",0.05,"16QAM",0.15,"64QAM",0.4,"256QAM",0.75,"1024QAM",1,"")</f>
        <v>1</v>
      </c>
      <c r="G28" t="s">
        <v>61</v>
      </c>
      <c r="H28">
        <v>8</v>
      </c>
      <c r="I28" t="s">
        <v>62</v>
      </c>
      <c r="J28">
        <v>2</v>
      </c>
      <c r="K28">
        <v>2</v>
      </c>
      <c r="L28" t="s">
        <v>63</v>
      </c>
      <c r="M28">
        <v>2</v>
      </c>
      <c r="N28">
        <v>0.47849999999999998</v>
      </c>
      <c r="O28">
        <v>0.47620000000000001</v>
      </c>
      <c r="P28">
        <v>10000</v>
      </c>
      <c r="Q28">
        <v>4256</v>
      </c>
      <c r="R28">
        <v>5744</v>
      </c>
      <c r="S28">
        <v>2.35</v>
      </c>
      <c r="T28">
        <v>1.35</v>
      </c>
      <c r="W28">
        <v>4248</v>
      </c>
      <c r="X28">
        <v>0</v>
      </c>
      <c r="Y28">
        <v>57.52</v>
      </c>
      <c r="Z28">
        <v>0.19</v>
      </c>
      <c r="AB28">
        <v>594320000</v>
      </c>
      <c r="AC28">
        <v>252467136</v>
      </c>
      <c r="AD28">
        <v>594320000</v>
      </c>
      <c r="AE28">
        <v>252467136</v>
      </c>
      <c r="AG28">
        <v>99.81</v>
      </c>
      <c r="AH28">
        <v>42.48</v>
      </c>
      <c r="AI28">
        <v>1</v>
      </c>
      <c r="AJ28">
        <v>2.3496239999999999</v>
      </c>
      <c r="AK28">
        <v>0.20230000000000001</v>
      </c>
      <c r="AL28">
        <v>25.25</v>
      </c>
      <c r="AM28">
        <v>25247</v>
      </c>
      <c r="AN28">
        <v>2.6972999999999998</v>
      </c>
      <c r="AO28">
        <v>30</v>
      </c>
      <c r="AP28">
        <v>21.87</v>
      </c>
      <c r="AQ28">
        <v>0.72</v>
      </c>
      <c r="AR28">
        <v>-6.11</v>
      </c>
      <c r="AS28">
        <v>1.94</v>
      </c>
      <c r="AT28">
        <v>25.85</v>
      </c>
      <c r="AU28">
        <v>6666.69</v>
      </c>
      <c r="AV28">
        <v>35.81</v>
      </c>
      <c r="AW28">
        <v>27.62</v>
      </c>
      <c r="AX28">
        <v>22.25</v>
      </c>
      <c r="AY28">
        <v>4.2794749999999997</v>
      </c>
      <c r="AZ28">
        <v>49.734963999999998</v>
      </c>
      <c r="BA28">
        <v>-27.499030000000001</v>
      </c>
      <c r="BB28">
        <v>-6.7424850000000003</v>
      </c>
      <c r="BC28">
        <v>27.499030000000001</v>
      </c>
      <c r="BD28">
        <v>9.3721700000000006</v>
      </c>
      <c r="BE28">
        <v>131.924407</v>
      </c>
      <c r="BF28">
        <v>-21.015961000000001</v>
      </c>
      <c r="BG28">
        <v>1.9459420000000001</v>
      </c>
      <c r="BH28">
        <v>21.015961000000001</v>
      </c>
    </row>
    <row r="29" spans="1:60" x14ac:dyDescent="0.25">
      <c r="A29" t="s">
        <v>116</v>
      </c>
      <c r="B29" t="s">
        <v>117</v>
      </c>
      <c r="C29">
        <v>22</v>
      </c>
      <c r="D29" t="s">
        <v>60</v>
      </c>
      <c r="E29" cm="1">
        <f t="array" ref="E29">_xlfn.SWITCH(D29,"QPSK",0.1,"16QAM",0.25,"64QAM",0.5,"256QAM",0.8,"1024QAM",1,"")</f>
        <v>1</v>
      </c>
      <c r="F29" cm="1">
        <f t="array" ref="F29">_xlfn.SWITCH(D29,"QPSK",0.05,"16QAM",0.15,"64QAM",0.4,"256QAM",0.75,"1024QAM",1,"")</f>
        <v>1</v>
      </c>
      <c r="G29" t="s">
        <v>61</v>
      </c>
      <c r="H29">
        <v>1</v>
      </c>
      <c r="I29" t="s">
        <v>62</v>
      </c>
      <c r="J29">
        <v>2</v>
      </c>
      <c r="K29">
        <v>2</v>
      </c>
      <c r="L29" t="s">
        <v>63</v>
      </c>
      <c r="M29">
        <v>2</v>
      </c>
      <c r="N29">
        <v>0.47849999999999998</v>
      </c>
      <c r="O29">
        <v>0.47620000000000001</v>
      </c>
      <c r="P29">
        <v>10000</v>
      </c>
      <c r="Q29">
        <v>4624</v>
      </c>
      <c r="R29">
        <v>5376</v>
      </c>
      <c r="S29">
        <v>2.16</v>
      </c>
      <c r="T29">
        <v>1.1599999999999999</v>
      </c>
      <c r="W29">
        <v>4620</v>
      </c>
      <c r="X29">
        <v>0</v>
      </c>
      <c r="Y29">
        <v>53.8</v>
      </c>
      <c r="Z29">
        <v>0.09</v>
      </c>
      <c r="AB29">
        <v>594320000</v>
      </c>
      <c r="AC29">
        <v>274575840</v>
      </c>
      <c r="AD29">
        <v>594320000</v>
      </c>
      <c r="AE29">
        <v>274575840</v>
      </c>
      <c r="AG29">
        <v>99.91</v>
      </c>
      <c r="AH29">
        <v>46.2</v>
      </c>
      <c r="AI29">
        <v>1</v>
      </c>
      <c r="AJ29">
        <v>2.1626300000000001</v>
      </c>
      <c r="AK29">
        <v>0.22</v>
      </c>
      <c r="AL29">
        <v>27.46</v>
      </c>
      <c r="AM29">
        <v>27458</v>
      </c>
      <c r="AN29">
        <v>2.9335</v>
      </c>
      <c r="AO29">
        <v>30</v>
      </c>
      <c r="AP29">
        <v>21.87</v>
      </c>
      <c r="AQ29">
        <v>0.72</v>
      </c>
      <c r="AR29">
        <v>-6.12</v>
      </c>
      <c r="AS29">
        <v>1.94</v>
      </c>
      <c r="AT29">
        <v>28.01</v>
      </c>
      <c r="AU29">
        <v>6666.69</v>
      </c>
      <c r="AV29">
        <v>35.81</v>
      </c>
      <c r="AW29">
        <v>28.2</v>
      </c>
      <c r="AX29">
        <v>22.84</v>
      </c>
      <c r="AY29">
        <v>3.9638689999999999</v>
      </c>
      <c r="AZ29">
        <v>43.318173999999999</v>
      </c>
      <c r="BA29">
        <v>-28.139678</v>
      </c>
      <c r="BB29">
        <v>-7.9858580000000003</v>
      </c>
      <c r="BC29">
        <v>28.139678</v>
      </c>
      <c r="BD29">
        <v>8.3323560000000008</v>
      </c>
      <c r="BE29">
        <v>124.169252</v>
      </c>
      <c r="BF29">
        <v>-22.064232000000001</v>
      </c>
      <c r="BG29">
        <v>1.3189519999999999</v>
      </c>
      <c r="BH29">
        <v>22.064232000000001</v>
      </c>
    </row>
    <row r="30" spans="1:60" x14ac:dyDescent="0.25">
      <c r="A30" t="s">
        <v>118</v>
      </c>
      <c r="B30" t="s">
        <v>119</v>
      </c>
      <c r="C30">
        <v>22</v>
      </c>
      <c r="D30" t="s">
        <v>60</v>
      </c>
      <c r="E30" cm="1">
        <f t="array" ref="E30">_xlfn.SWITCH(D30,"QPSK",0.1,"16QAM",0.25,"64QAM",0.5,"256QAM",0.8,"1024QAM",1,"")</f>
        <v>1</v>
      </c>
      <c r="F30" cm="1">
        <f t="array" ref="F30">_xlfn.SWITCH(D30,"QPSK",0.05,"16QAM",0.15,"64QAM",0.4,"256QAM",0.75,"1024QAM",1,"")</f>
        <v>1</v>
      </c>
      <c r="G30" t="s">
        <v>61</v>
      </c>
      <c r="H30">
        <v>4</v>
      </c>
      <c r="I30" t="s">
        <v>62</v>
      </c>
      <c r="J30">
        <v>2</v>
      </c>
      <c r="K30">
        <v>2</v>
      </c>
      <c r="L30" t="s">
        <v>63</v>
      </c>
      <c r="M30">
        <v>2</v>
      </c>
      <c r="N30">
        <v>0.47849999999999998</v>
      </c>
      <c r="O30">
        <v>0.47620000000000001</v>
      </c>
      <c r="P30">
        <v>10000</v>
      </c>
      <c r="Q30">
        <v>4611</v>
      </c>
      <c r="R30">
        <v>5389</v>
      </c>
      <c r="S30">
        <v>2.17</v>
      </c>
      <c r="T30">
        <v>1.17</v>
      </c>
      <c r="W30">
        <v>4607</v>
      </c>
      <c r="X30">
        <v>0</v>
      </c>
      <c r="Y30">
        <v>53.93</v>
      </c>
      <c r="Z30">
        <v>0.09</v>
      </c>
      <c r="AB30">
        <v>594320000</v>
      </c>
      <c r="AC30">
        <v>273803224</v>
      </c>
      <c r="AD30">
        <v>594320000</v>
      </c>
      <c r="AE30">
        <v>273803224</v>
      </c>
      <c r="AG30">
        <v>99.91</v>
      </c>
      <c r="AH30">
        <v>46.07</v>
      </c>
      <c r="AI30">
        <v>1</v>
      </c>
      <c r="AJ30">
        <v>2.1687270000000001</v>
      </c>
      <c r="AK30">
        <v>0.21940000000000001</v>
      </c>
      <c r="AL30">
        <v>27.38</v>
      </c>
      <c r="AM30">
        <v>27380</v>
      </c>
      <c r="AN30">
        <v>2.9251999999999998</v>
      </c>
      <c r="AO30">
        <v>30</v>
      </c>
      <c r="AP30">
        <v>21.87</v>
      </c>
      <c r="AQ30">
        <v>0.72</v>
      </c>
      <c r="AR30">
        <v>-6.12</v>
      </c>
      <c r="AS30">
        <v>1.94</v>
      </c>
      <c r="AT30">
        <v>28.32</v>
      </c>
      <c r="AU30">
        <v>6666.69</v>
      </c>
      <c r="AV30">
        <v>35.81</v>
      </c>
      <c r="AW30">
        <v>28.2</v>
      </c>
      <c r="AX30">
        <v>22.86</v>
      </c>
      <c r="AY30">
        <v>3.962968</v>
      </c>
      <c r="AZ30">
        <v>43.267091999999998</v>
      </c>
      <c r="BA30">
        <v>-28.140004000000001</v>
      </c>
      <c r="BB30">
        <v>-7.9825809999999997</v>
      </c>
      <c r="BC30">
        <v>28.140004000000001</v>
      </c>
      <c r="BD30">
        <v>8.3232990000000004</v>
      </c>
      <c r="BE30">
        <v>123.92985899999999</v>
      </c>
      <c r="BF30">
        <v>-22.074753999999999</v>
      </c>
      <c r="BG30">
        <v>1.3023070000000001</v>
      </c>
      <c r="BH30">
        <v>22.074753999999999</v>
      </c>
    </row>
    <row r="31" spans="1:60" x14ac:dyDescent="0.25">
      <c r="A31" t="s">
        <v>120</v>
      </c>
      <c r="B31" t="s">
        <v>121</v>
      </c>
      <c r="C31">
        <v>22</v>
      </c>
      <c r="D31" t="s">
        <v>60</v>
      </c>
      <c r="E31" cm="1">
        <f t="array" ref="E31">_xlfn.SWITCH(D31,"QPSK",0.1,"16QAM",0.25,"64QAM",0.5,"256QAM",0.8,"1024QAM",1,"")</f>
        <v>1</v>
      </c>
      <c r="F31" cm="1">
        <f t="array" ref="F31">_xlfn.SWITCH(D31,"QPSK",0.05,"16QAM",0.15,"64QAM",0.4,"256QAM",0.75,"1024QAM",1,"")</f>
        <v>1</v>
      </c>
      <c r="G31" t="s">
        <v>61</v>
      </c>
      <c r="H31">
        <v>8</v>
      </c>
      <c r="I31" t="s">
        <v>62</v>
      </c>
      <c r="J31">
        <v>2</v>
      </c>
      <c r="K31">
        <v>2</v>
      </c>
      <c r="L31" t="s">
        <v>63</v>
      </c>
      <c r="M31">
        <v>2</v>
      </c>
      <c r="N31">
        <v>0.47849999999999998</v>
      </c>
      <c r="O31">
        <v>0.47620000000000001</v>
      </c>
      <c r="P31">
        <v>10000</v>
      </c>
      <c r="Q31">
        <v>4614</v>
      </c>
      <c r="R31">
        <v>5386</v>
      </c>
      <c r="S31">
        <v>2.17</v>
      </c>
      <c r="T31">
        <v>1.17</v>
      </c>
      <c r="W31">
        <v>4607</v>
      </c>
      <c r="X31">
        <v>0</v>
      </c>
      <c r="Y31">
        <v>53.93</v>
      </c>
      <c r="Z31">
        <v>0.15</v>
      </c>
      <c r="AB31">
        <v>594320000</v>
      </c>
      <c r="AC31">
        <v>273803224</v>
      </c>
      <c r="AD31">
        <v>594320000</v>
      </c>
      <c r="AE31">
        <v>273803224</v>
      </c>
      <c r="AG31">
        <v>99.85</v>
      </c>
      <c r="AH31">
        <v>46.07</v>
      </c>
      <c r="AI31">
        <v>1</v>
      </c>
      <c r="AJ31">
        <v>2.1673170000000002</v>
      </c>
      <c r="AK31">
        <v>0.21940000000000001</v>
      </c>
      <c r="AL31">
        <v>27.38</v>
      </c>
      <c r="AM31">
        <v>27380</v>
      </c>
      <c r="AN31">
        <v>2.9251999999999998</v>
      </c>
      <c r="AO31">
        <v>30</v>
      </c>
      <c r="AP31">
        <v>21.87</v>
      </c>
      <c r="AQ31">
        <v>0.72</v>
      </c>
      <c r="AR31">
        <v>-6.12</v>
      </c>
      <c r="AS31">
        <v>1.94</v>
      </c>
      <c r="AT31">
        <v>27.99</v>
      </c>
      <c r="AU31">
        <v>6666.69</v>
      </c>
      <c r="AV31">
        <v>35.81</v>
      </c>
      <c r="AW31">
        <v>28.2</v>
      </c>
      <c r="AX31">
        <v>22.86</v>
      </c>
      <c r="AY31">
        <v>3.9643999999999999</v>
      </c>
      <c r="AZ31">
        <v>43.151546000000003</v>
      </c>
      <c r="BA31">
        <v>-28.138237</v>
      </c>
      <c r="BB31">
        <v>-8.0017669999999992</v>
      </c>
      <c r="BC31">
        <v>28.138237</v>
      </c>
      <c r="BD31">
        <v>8.3262149999999995</v>
      </c>
      <c r="BE31">
        <v>123.865178</v>
      </c>
      <c r="BF31">
        <v>-22.071061</v>
      </c>
      <c r="BG31">
        <v>1.2968059999999999</v>
      </c>
      <c r="BH31">
        <v>22.071061</v>
      </c>
    </row>
    <row r="32" spans="1:60" x14ac:dyDescent="0.25">
      <c r="A32" t="s">
        <v>122</v>
      </c>
      <c r="B32" t="s">
        <v>123</v>
      </c>
      <c r="C32">
        <v>24</v>
      </c>
      <c r="D32" t="s">
        <v>60</v>
      </c>
      <c r="E32" cm="1">
        <f t="array" ref="E32">_xlfn.SWITCH(D32,"QPSK",0.1,"16QAM",0.25,"64QAM",0.5,"256QAM",0.8,"1024QAM",1,"")</f>
        <v>1</v>
      </c>
      <c r="F32" cm="1">
        <f t="array" ref="F32">_xlfn.SWITCH(D32,"QPSK",0.05,"16QAM",0.15,"64QAM",0.4,"256QAM",0.75,"1024QAM",1,"")</f>
        <v>1</v>
      </c>
      <c r="G32" t="s">
        <v>61</v>
      </c>
      <c r="H32">
        <v>1</v>
      </c>
      <c r="I32" t="s">
        <v>62</v>
      </c>
      <c r="J32">
        <v>2</v>
      </c>
      <c r="K32">
        <v>2</v>
      </c>
      <c r="L32" t="s">
        <v>63</v>
      </c>
      <c r="M32">
        <v>2</v>
      </c>
      <c r="N32">
        <v>0.47849999999999998</v>
      </c>
      <c r="O32">
        <v>0.47620000000000001</v>
      </c>
      <c r="P32">
        <v>10000</v>
      </c>
      <c r="Q32">
        <v>4888</v>
      </c>
      <c r="R32">
        <v>5112</v>
      </c>
      <c r="S32">
        <v>2.0499999999999998</v>
      </c>
      <c r="T32">
        <v>1.05</v>
      </c>
      <c r="W32">
        <v>4884</v>
      </c>
      <c r="X32">
        <v>0</v>
      </c>
      <c r="Y32">
        <v>51.16</v>
      </c>
      <c r="Z32">
        <v>0.08</v>
      </c>
      <c r="AB32">
        <v>594320000</v>
      </c>
      <c r="AC32">
        <v>290265888</v>
      </c>
      <c r="AD32">
        <v>594320000</v>
      </c>
      <c r="AE32">
        <v>290265888</v>
      </c>
      <c r="AG32">
        <v>99.92</v>
      </c>
      <c r="AH32">
        <v>48.84</v>
      </c>
      <c r="AI32">
        <v>1</v>
      </c>
      <c r="AJ32">
        <v>2.0458270000000001</v>
      </c>
      <c r="AK32">
        <v>0.2326</v>
      </c>
      <c r="AL32">
        <v>29.03</v>
      </c>
      <c r="AM32">
        <v>29027</v>
      </c>
      <c r="AN32">
        <v>3.1011000000000002</v>
      </c>
      <c r="AO32">
        <v>30</v>
      </c>
      <c r="AP32">
        <v>21.87</v>
      </c>
      <c r="AQ32">
        <v>0.72</v>
      </c>
      <c r="AR32">
        <v>-6.13</v>
      </c>
      <c r="AS32">
        <v>1.94</v>
      </c>
      <c r="AT32">
        <v>31.39</v>
      </c>
      <c r="AU32">
        <v>6666.69</v>
      </c>
      <c r="AV32">
        <v>35.81</v>
      </c>
      <c r="AW32">
        <v>28.69</v>
      </c>
      <c r="AX32">
        <v>23.55</v>
      </c>
      <c r="AY32">
        <v>3.72566</v>
      </c>
      <c r="AZ32">
        <v>37.927371999999998</v>
      </c>
      <c r="BA32">
        <v>-28.661657000000002</v>
      </c>
      <c r="BB32">
        <v>-9.2108690000000006</v>
      </c>
      <c r="BC32">
        <v>28.661657000000002</v>
      </c>
      <c r="BD32">
        <v>7.4005349999999996</v>
      </c>
      <c r="BE32">
        <v>115.257131</v>
      </c>
      <c r="BF32">
        <v>-23.066472999999998</v>
      </c>
      <c r="BG32">
        <v>0.57979400000000003</v>
      </c>
      <c r="BH32">
        <v>23.066472999999998</v>
      </c>
    </row>
    <row r="33" spans="1:60" x14ac:dyDescent="0.25">
      <c r="A33" t="s">
        <v>124</v>
      </c>
      <c r="B33" t="s">
        <v>125</v>
      </c>
      <c r="C33">
        <v>24</v>
      </c>
      <c r="D33" t="s">
        <v>60</v>
      </c>
      <c r="E33" cm="1">
        <f t="array" ref="E33">_xlfn.SWITCH(D33,"QPSK",0.1,"16QAM",0.25,"64QAM",0.5,"256QAM",0.8,"1024QAM",1,"")</f>
        <v>1</v>
      </c>
      <c r="F33" cm="1">
        <f t="array" ref="F33">_xlfn.SWITCH(D33,"QPSK",0.05,"16QAM",0.15,"64QAM",0.4,"256QAM",0.75,"1024QAM",1,"")</f>
        <v>1</v>
      </c>
      <c r="G33" t="s">
        <v>61</v>
      </c>
      <c r="H33">
        <v>4</v>
      </c>
      <c r="I33" t="s">
        <v>62</v>
      </c>
      <c r="J33">
        <v>2</v>
      </c>
      <c r="K33">
        <v>2</v>
      </c>
      <c r="L33" t="s">
        <v>63</v>
      </c>
      <c r="M33">
        <v>2</v>
      </c>
      <c r="N33">
        <v>0.47849999999999998</v>
      </c>
      <c r="O33">
        <v>0.47620000000000001</v>
      </c>
      <c r="P33">
        <v>10000</v>
      </c>
      <c r="Q33">
        <v>4881</v>
      </c>
      <c r="R33">
        <v>5119</v>
      </c>
      <c r="S33">
        <v>2.0499999999999998</v>
      </c>
      <c r="T33">
        <v>1.05</v>
      </c>
      <c r="W33">
        <v>4879</v>
      </c>
      <c r="X33">
        <v>0</v>
      </c>
      <c r="Y33">
        <v>51.21</v>
      </c>
      <c r="Z33">
        <v>0.04</v>
      </c>
      <c r="AB33">
        <v>594320000</v>
      </c>
      <c r="AC33">
        <v>289968728</v>
      </c>
      <c r="AD33">
        <v>594320000</v>
      </c>
      <c r="AE33">
        <v>289968728</v>
      </c>
      <c r="AG33">
        <v>99.96</v>
      </c>
      <c r="AH33">
        <v>48.79</v>
      </c>
      <c r="AI33">
        <v>1</v>
      </c>
      <c r="AJ33">
        <v>2.0487600000000001</v>
      </c>
      <c r="AK33">
        <v>0.23230000000000001</v>
      </c>
      <c r="AL33">
        <v>29</v>
      </c>
      <c r="AM33">
        <v>28997</v>
      </c>
      <c r="AN33">
        <v>3.0979999999999999</v>
      </c>
      <c r="AO33">
        <v>30</v>
      </c>
      <c r="AP33">
        <v>21.87</v>
      </c>
      <c r="AQ33">
        <v>0.72</v>
      </c>
      <c r="AR33">
        <v>-6.13</v>
      </c>
      <c r="AS33">
        <v>1.94</v>
      </c>
      <c r="AT33">
        <v>31.69</v>
      </c>
      <c r="AU33">
        <v>6666.69</v>
      </c>
      <c r="AV33">
        <v>35.81</v>
      </c>
      <c r="AW33">
        <v>28.69</v>
      </c>
      <c r="AX33">
        <v>23.54</v>
      </c>
      <c r="AY33">
        <v>3.7267860000000002</v>
      </c>
      <c r="AZ33">
        <v>38.020989999999998</v>
      </c>
      <c r="BA33">
        <v>-28.658270999999999</v>
      </c>
      <c r="BB33">
        <v>-9.1750989999999994</v>
      </c>
      <c r="BC33">
        <v>28.658270999999999</v>
      </c>
      <c r="BD33">
        <v>7.4086169999999996</v>
      </c>
      <c r="BE33">
        <v>116.070004</v>
      </c>
      <c r="BF33">
        <v>-23.05827</v>
      </c>
      <c r="BG33">
        <v>0.62132600000000004</v>
      </c>
      <c r="BH33">
        <v>23.05827</v>
      </c>
    </row>
    <row r="34" spans="1:60" x14ac:dyDescent="0.25">
      <c r="A34" t="s">
        <v>126</v>
      </c>
      <c r="B34" t="s">
        <v>127</v>
      </c>
      <c r="C34">
        <v>24</v>
      </c>
      <c r="D34" t="s">
        <v>60</v>
      </c>
      <c r="E34" cm="1">
        <f t="array" ref="E34">_xlfn.SWITCH(D34,"QPSK",0.1,"16QAM",0.25,"64QAM",0.5,"256QAM",0.8,"1024QAM",1,"")</f>
        <v>1</v>
      </c>
      <c r="F34" cm="1">
        <f t="array" ref="F34">_xlfn.SWITCH(D34,"QPSK",0.05,"16QAM",0.15,"64QAM",0.4,"256QAM",0.75,"1024QAM",1,"")</f>
        <v>1</v>
      </c>
      <c r="G34" t="s">
        <v>61</v>
      </c>
      <c r="H34">
        <v>8</v>
      </c>
      <c r="I34" t="s">
        <v>62</v>
      </c>
      <c r="J34">
        <v>2</v>
      </c>
      <c r="K34">
        <v>2</v>
      </c>
      <c r="L34" t="s">
        <v>63</v>
      </c>
      <c r="M34">
        <v>2</v>
      </c>
      <c r="N34">
        <v>0.47849999999999998</v>
      </c>
      <c r="O34">
        <v>0.47620000000000001</v>
      </c>
      <c r="P34">
        <v>10000</v>
      </c>
      <c r="Q34">
        <v>4886</v>
      </c>
      <c r="R34">
        <v>5114</v>
      </c>
      <c r="S34">
        <v>2.0499999999999998</v>
      </c>
      <c r="T34">
        <v>1.05</v>
      </c>
      <c r="W34">
        <v>4880</v>
      </c>
      <c r="X34">
        <v>0</v>
      </c>
      <c r="Y34">
        <v>51.2</v>
      </c>
      <c r="Z34">
        <v>0.12</v>
      </c>
      <c r="AB34">
        <v>594320000</v>
      </c>
      <c r="AC34">
        <v>290028160</v>
      </c>
      <c r="AD34">
        <v>594320000</v>
      </c>
      <c r="AE34">
        <v>290028160</v>
      </c>
      <c r="AG34">
        <v>99.88</v>
      </c>
      <c r="AH34">
        <v>48.8</v>
      </c>
      <c r="AI34">
        <v>1</v>
      </c>
      <c r="AJ34">
        <v>2.0466639999999998</v>
      </c>
      <c r="AK34">
        <v>0.2324</v>
      </c>
      <c r="AL34">
        <v>29</v>
      </c>
      <c r="AM34">
        <v>29003</v>
      </c>
      <c r="AN34">
        <v>3.0985999999999998</v>
      </c>
      <c r="AO34">
        <v>30</v>
      </c>
      <c r="AP34">
        <v>21.87</v>
      </c>
      <c r="AQ34">
        <v>0.72</v>
      </c>
      <c r="AR34">
        <v>-6.13</v>
      </c>
      <c r="AS34">
        <v>1.94</v>
      </c>
      <c r="AT34">
        <v>31.57</v>
      </c>
      <c r="AU34">
        <v>6666.69</v>
      </c>
      <c r="AV34">
        <v>35.81</v>
      </c>
      <c r="AW34">
        <v>28.69</v>
      </c>
      <c r="AX34">
        <v>23.54</v>
      </c>
      <c r="AY34">
        <v>3.7255600000000002</v>
      </c>
      <c r="AZ34">
        <v>38.007874999999999</v>
      </c>
      <c r="BA34">
        <v>-28.661415999999999</v>
      </c>
      <c r="BB34">
        <v>-9.1852420000000006</v>
      </c>
      <c r="BC34">
        <v>28.661415999999999</v>
      </c>
      <c r="BD34">
        <v>7.4067239999999996</v>
      </c>
      <c r="BE34">
        <v>115.72225400000001</v>
      </c>
      <c r="BF34">
        <v>-23.060395</v>
      </c>
      <c r="BG34">
        <v>0.61711300000000002</v>
      </c>
      <c r="BH34">
        <v>23.060395</v>
      </c>
    </row>
    <row r="35" spans="1:60" x14ac:dyDescent="0.25">
      <c r="A35" t="s">
        <v>128</v>
      </c>
      <c r="B35" t="s">
        <v>129</v>
      </c>
      <c r="C35">
        <v>4</v>
      </c>
      <c r="D35" t="s">
        <v>60</v>
      </c>
      <c r="E35" cm="1">
        <f t="array" ref="E35">_xlfn.SWITCH(D35,"QPSK",0.1,"16QAM",0.25,"64QAM",0.5,"256QAM",0.8,"1024QAM",1,"")</f>
        <v>1</v>
      </c>
      <c r="F35" cm="1">
        <f t="array" ref="F35">_xlfn.SWITCH(D35,"QPSK",0.05,"16QAM",0.15,"64QAM",0.4,"256QAM",0.75,"1024QAM",1,"")</f>
        <v>1</v>
      </c>
      <c r="G35" t="s">
        <v>61</v>
      </c>
      <c r="H35">
        <v>1</v>
      </c>
      <c r="I35" t="s">
        <v>62</v>
      </c>
      <c r="J35">
        <v>2</v>
      </c>
      <c r="K35">
        <v>2</v>
      </c>
      <c r="L35" t="s">
        <v>63</v>
      </c>
      <c r="M35">
        <v>2</v>
      </c>
      <c r="N35">
        <v>0.47849999999999998</v>
      </c>
      <c r="O35">
        <v>0.47620000000000001</v>
      </c>
      <c r="P35">
        <v>10000</v>
      </c>
      <c r="Q35">
        <v>2500</v>
      </c>
      <c r="R35">
        <v>7500</v>
      </c>
      <c r="S35">
        <v>4</v>
      </c>
      <c r="T35">
        <v>3</v>
      </c>
      <c r="W35">
        <v>26</v>
      </c>
      <c r="X35">
        <v>0</v>
      </c>
      <c r="Y35">
        <v>99.74</v>
      </c>
      <c r="Z35">
        <v>98.96</v>
      </c>
      <c r="AB35">
        <v>594320000</v>
      </c>
      <c r="AC35">
        <v>1545232</v>
      </c>
      <c r="AD35">
        <v>594320000</v>
      </c>
      <c r="AE35">
        <v>1545232</v>
      </c>
      <c r="AG35">
        <v>1.04</v>
      </c>
      <c r="AH35">
        <v>0.26</v>
      </c>
      <c r="AI35">
        <v>1</v>
      </c>
      <c r="AJ35">
        <v>4</v>
      </c>
      <c r="AK35">
        <v>1.1999999999999999E-3</v>
      </c>
      <c r="AL35">
        <v>0.15</v>
      </c>
      <c r="AM35">
        <v>155</v>
      </c>
      <c r="AN35">
        <v>1.6500000000000001E-2</v>
      </c>
      <c r="AO35">
        <v>30</v>
      </c>
      <c r="AP35">
        <v>21.87</v>
      </c>
      <c r="AQ35">
        <v>0.72</v>
      </c>
      <c r="AR35">
        <v>-6.03</v>
      </c>
      <c r="AS35">
        <v>1.9</v>
      </c>
      <c r="AT35">
        <v>15.58</v>
      </c>
      <c r="AU35">
        <v>6666.69</v>
      </c>
      <c r="AV35">
        <v>35.81</v>
      </c>
      <c r="AW35">
        <v>23.61</v>
      </c>
      <c r="AX35">
        <v>23.4</v>
      </c>
      <c r="AY35">
        <v>10.952622</v>
      </c>
      <c r="AZ35">
        <v>105.755139</v>
      </c>
      <c r="BA35">
        <v>-19.365212</v>
      </c>
      <c r="BB35">
        <v>0.290242</v>
      </c>
      <c r="BC35">
        <v>19.365212</v>
      </c>
      <c r="BD35">
        <v>20.287635000000002</v>
      </c>
      <c r="BE35">
        <v>201.75814600000001</v>
      </c>
      <c r="BF35">
        <v>-14.077014</v>
      </c>
      <c r="BG35">
        <v>5.7522640000000003</v>
      </c>
      <c r="BH35">
        <v>14.077014</v>
      </c>
    </row>
    <row r="36" spans="1:60" x14ac:dyDescent="0.25">
      <c r="A36" t="s">
        <v>130</v>
      </c>
      <c r="B36" t="s">
        <v>131</v>
      </c>
      <c r="C36">
        <v>4</v>
      </c>
      <c r="D36" t="s">
        <v>60</v>
      </c>
      <c r="E36" cm="1">
        <f t="array" ref="E36">_xlfn.SWITCH(D36,"QPSK",0.1,"16QAM",0.25,"64QAM",0.5,"256QAM",0.8,"1024QAM",1,"")</f>
        <v>1</v>
      </c>
      <c r="F36" cm="1">
        <f t="array" ref="F36">_xlfn.SWITCH(D36,"QPSK",0.05,"16QAM",0.15,"64QAM",0.4,"256QAM",0.75,"1024QAM",1,"")</f>
        <v>1</v>
      </c>
      <c r="G36" t="s">
        <v>61</v>
      </c>
      <c r="H36">
        <v>4</v>
      </c>
      <c r="I36" t="s">
        <v>62</v>
      </c>
      <c r="J36">
        <v>2</v>
      </c>
      <c r="K36">
        <v>2</v>
      </c>
      <c r="L36" t="s">
        <v>63</v>
      </c>
      <c r="M36">
        <v>2</v>
      </c>
      <c r="N36">
        <v>0.47849999999999998</v>
      </c>
      <c r="O36">
        <v>0.47620000000000001</v>
      </c>
      <c r="P36">
        <v>10000</v>
      </c>
      <c r="Q36">
        <v>2500</v>
      </c>
      <c r="R36">
        <v>7500</v>
      </c>
      <c r="S36">
        <v>4</v>
      </c>
      <c r="T36">
        <v>3</v>
      </c>
      <c r="W36">
        <v>27</v>
      </c>
      <c r="X36">
        <v>0</v>
      </c>
      <c r="Y36">
        <v>99.73</v>
      </c>
      <c r="Z36">
        <v>98.92</v>
      </c>
      <c r="AB36">
        <v>594320000</v>
      </c>
      <c r="AC36">
        <v>1604664</v>
      </c>
      <c r="AD36">
        <v>594320000</v>
      </c>
      <c r="AE36">
        <v>1604664</v>
      </c>
      <c r="AG36">
        <v>1.08</v>
      </c>
      <c r="AH36">
        <v>0.27</v>
      </c>
      <c r="AI36">
        <v>1</v>
      </c>
      <c r="AJ36">
        <v>4</v>
      </c>
      <c r="AK36">
        <v>1.2999999999999999E-3</v>
      </c>
      <c r="AL36">
        <v>0.16</v>
      </c>
      <c r="AM36">
        <v>160</v>
      </c>
      <c r="AN36">
        <v>1.7100000000000001E-2</v>
      </c>
      <c r="AO36">
        <v>30</v>
      </c>
      <c r="AP36">
        <v>21.87</v>
      </c>
      <c r="AQ36">
        <v>0.72</v>
      </c>
      <c r="AR36">
        <v>-6.03</v>
      </c>
      <c r="AS36">
        <v>1.9</v>
      </c>
      <c r="AT36">
        <v>15.49</v>
      </c>
      <c r="AU36">
        <v>6666.69</v>
      </c>
      <c r="AV36">
        <v>35.81</v>
      </c>
      <c r="AW36">
        <v>23.62</v>
      </c>
      <c r="AX36">
        <v>23.4</v>
      </c>
      <c r="AY36">
        <v>10.946887</v>
      </c>
      <c r="AZ36">
        <v>105.629885</v>
      </c>
      <c r="BA36">
        <v>-19.369914000000001</v>
      </c>
      <c r="BB36">
        <v>0.28204699999999999</v>
      </c>
      <c r="BC36">
        <v>19.369914000000001</v>
      </c>
      <c r="BD36">
        <v>20.273188000000001</v>
      </c>
      <c r="BE36">
        <v>201.18420499999999</v>
      </c>
      <c r="BF36">
        <v>-14.082646</v>
      </c>
      <c r="BG36">
        <v>5.7345829999999998</v>
      </c>
      <c r="BH36">
        <v>14.082646</v>
      </c>
    </row>
    <row r="37" spans="1:60" x14ac:dyDescent="0.25">
      <c r="A37" t="s">
        <v>132</v>
      </c>
      <c r="B37" t="s">
        <v>133</v>
      </c>
      <c r="C37">
        <v>4</v>
      </c>
      <c r="D37" t="s">
        <v>60</v>
      </c>
      <c r="E37" cm="1">
        <f t="array" ref="E37">_xlfn.SWITCH(D37,"QPSK",0.1,"16QAM",0.25,"64QAM",0.5,"256QAM",0.8,"1024QAM",1,"")</f>
        <v>1</v>
      </c>
      <c r="F37" cm="1">
        <f t="array" ref="F37">_xlfn.SWITCH(D37,"QPSK",0.05,"16QAM",0.15,"64QAM",0.4,"256QAM",0.75,"1024QAM",1,"")</f>
        <v>1</v>
      </c>
      <c r="G37" t="s">
        <v>61</v>
      </c>
      <c r="H37">
        <v>8</v>
      </c>
      <c r="I37" t="s">
        <v>62</v>
      </c>
      <c r="J37">
        <v>2</v>
      </c>
      <c r="K37">
        <v>2</v>
      </c>
      <c r="L37" t="s">
        <v>63</v>
      </c>
      <c r="M37">
        <v>2</v>
      </c>
      <c r="N37">
        <v>0.47849999999999998</v>
      </c>
      <c r="O37">
        <v>0.47620000000000001</v>
      </c>
      <c r="P37">
        <v>10000</v>
      </c>
      <c r="Q37">
        <v>2504</v>
      </c>
      <c r="R37">
        <v>7496</v>
      </c>
      <c r="S37">
        <v>3.99</v>
      </c>
      <c r="T37">
        <v>2.99</v>
      </c>
      <c r="W37">
        <v>21</v>
      </c>
      <c r="X37">
        <v>0</v>
      </c>
      <c r="Y37">
        <v>99.79</v>
      </c>
      <c r="Z37">
        <v>99.16</v>
      </c>
      <c r="AB37">
        <v>594320000</v>
      </c>
      <c r="AC37">
        <v>1248072</v>
      </c>
      <c r="AD37">
        <v>594320000</v>
      </c>
      <c r="AE37">
        <v>1248072</v>
      </c>
      <c r="AG37">
        <v>0.84</v>
      </c>
      <c r="AH37">
        <v>0.21</v>
      </c>
      <c r="AI37">
        <v>1</v>
      </c>
      <c r="AJ37">
        <v>3.9936099999999999</v>
      </c>
      <c r="AK37">
        <v>1E-3</v>
      </c>
      <c r="AL37">
        <v>0.12</v>
      </c>
      <c r="AM37">
        <v>125</v>
      </c>
      <c r="AN37">
        <v>1.3299999999999999E-2</v>
      </c>
      <c r="AO37">
        <v>30</v>
      </c>
      <c r="AP37">
        <v>21.87</v>
      </c>
      <c r="AQ37">
        <v>0.72</v>
      </c>
      <c r="AR37">
        <v>-6.03</v>
      </c>
      <c r="AS37">
        <v>1.9</v>
      </c>
      <c r="AT37">
        <v>15.58</v>
      </c>
      <c r="AU37">
        <v>6666.69</v>
      </c>
      <c r="AV37">
        <v>35.81</v>
      </c>
      <c r="AW37">
        <v>23.61</v>
      </c>
      <c r="AX37">
        <v>23.4</v>
      </c>
      <c r="AY37">
        <v>10.949299999999999</v>
      </c>
      <c r="AZ37">
        <v>105.775126</v>
      </c>
      <c r="BA37">
        <v>-19.367864000000001</v>
      </c>
      <c r="BB37">
        <v>0.29136499999999999</v>
      </c>
      <c r="BC37">
        <v>19.367864000000001</v>
      </c>
      <c r="BD37">
        <v>20.275607999999998</v>
      </c>
      <c r="BE37">
        <v>201.50455400000001</v>
      </c>
      <c r="BF37">
        <v>-14.082905</v>
      </c>
      <c r="BG37">
        <v>5.7407539999999999</v>
      </c>
      <c r="BH37">
        <v>14.082905</v>
      </c>
    </row>
    <row r="38" spans="1:60" x14ac:dyDescent="0.25">
      <c r="A38" t="s">
        <v>134</v>
      </c>
      <c r="B38" t="s">
        <v>135</v>
      </c>
      <c r="C38">
        <v>6</v>
      </c>
      <c r="D38" t="s">
        <v>60</v>
      </c>
      <c r="E38" cm="1">
        <f t="array" ref="E38">_xlfn.SWITCH(D38,"QPSK",0.1,"16QAM",0.25,"64QAM",0.5,"256QAM",0.8,"1024QAM",1,"")</f>
        <v>1</v>
      </c>
      <c r="F38" cm="1">
        <f t="array" ref="F38">_xlfn.SWITCH(D38,"QPSK",0.05,"16QAM",0.15,"64QAM",0.4,"256QAM",0.75,"1024QAM",1,"")</f>
        <v>1</v>
      </c>
      <c r="G38" t="s">
        <v>61</v>
      </c>
      <c r="H38">
        <v>1</v>
      </c>
      <c r="I38" t="s">
        <v>62</v>
      </c>
      <c r="J38">
        <v>2</v>
      </c>
      <c r="K38">
        <v>2</v>
      </c>
      <c r="L38" t="s">
        <v>63</v>
      </c>
      <c r="M38">
        <v>2</v>
      </c>
      <c r="N38">
        <v>0.47849999999999998</v>
      </c>
      <c r="O38">
        <v>0.47620000000000001</v>
      </c>
      <c r="P38">
        <v>10000</v>
      </c>
      <c r="Q38">
        <v>2500</v>
      </c>
      <c r="R38">
        <v>7500</v>
      </c>
      <c r="S38">
        <v>4</v>
      </c>
      <c r="T38">
        <v>3</v>
      </c>
      <c r="W38">
        <v>219</v>
      </c>
      <c r="X38">
        <v>0</v>
      </c>
      <c r="Y38">
        <v>97.81</v>
      </c>
      <c r="Z38">
        <v>91.24</v>
      </c>
      <c r="AB38">
        <v>594320000</v>
      </c>
      <c r="AC38">
        <v>13015608</v>
      </c>
      <c r="AD38">
        <v>594320000</v>
      </c>
      <c r="AE38">
        <v>13015608</v>
      </c>
      <c r="AG38">
        <v>8.76</v>
      </c>
      <c r="AH38">
        <v>2.19</v>
      </c>
      <c r="AI38">
        <v>1</v>
      </c>
      <c r="AJ38">
        <v>4</v>
      </c>
      <c r="AK38">
        <v>1.04E-2</v>
      </c>
      <c r="AL38">
        <v>1.3</v>
      </c>
      <c r="AM38">
        <v>1302</v>
      </c>
      <c r="AN38">
        <v>0.1391</v>
      </c>
      <c r="AO38">
        <v>30</v>
      </c>
      <c r="AP38">
        <v>21.87</v>
      </c>
      <c r="AQ38">
        <v>0.72</v>
      </c>
      <c r="AR38">
        <v>-6.06</v>
      </c>
      <c r="AS38">
        <v>1.92</v>
      </c>
      <c r="AT38">
        <v>18.510000000000002</v>
      </c>
      <c r="AU38">
        <v>6666.69</v>
      </c>
      <c r="AV38">
        <v>35.81</v>
      </c>
      <c r="AW38">
        <v>23.85</v>
      </c>
      <c r="AX38">
        <v>23.45</v>
      </c>
      <c r="AY38">
        <v>9.3433340000000005</v>
      </c>
      <c r="AZ38">
        <v>91.314054999999996</v>
      </c>
      <c r="BA38">
        <v>-20.767844</v>
      </c>
      <c r="BB38">
        <v>-1.0167379999999999</v>
      </c>
      <c r="BC38">
        <v>20.767844</v>
      </c>
      <c r="BD38">
        <v>18.756983000000002</v>
      </c>
      <c r="BE38">
        <v>183.138487</v>
      </c>
      <c r="BF38">
        <v>-14.816917</v>
      </c>
      <c r="BG38">
        <v>4.8848669999999998</v>
      </c>
      <c r="BH38">
        <v>14.816917</v>
      </c>
    </row>
    <row r="39" spans="1:60" x14ac:dyDescent="0.25">
      <c r="A39" t="s">
        <v>136</v>
      </c>
      <c r="B39" t="s">
        <v>137</v>
      </c>
      <c r="C39">
        <v>6</v>
      </c>
      <c r="D39" t="s">
        <v>60</v>
      </c>
      <c r="E39" cm="1">
        <f t="array" ref="E39">_xlfn.SWITCH(D39,"QPSK",0.1,"16QAM",0.25,"64QAM",0.5,"256QAM",0.8,"1024QAM",1,"")</f>
        <v>1</v>
      </c>
      <c r="F39" cm="1">
        <f t="array" ref="F39">_xlfn.SWITCH(D39,"QPSK",0.05,"16QAM",0.15,"64QAM",0.4,"256QAM",0.75,"1024QAM",1,"")</f>
        <v>1</v>
      </c>
      <c r="G39" t="s">
        <v>61</v>
      </c>
      <c r="H39">
        <v>4</v>
      </c>
      <c r="I39" t="s">
        <v>62</v>
      </c>
      <c r="J39">
        <v>2</v>
      </c>
      <c r="K39">
        <v>2</v>
      </c>
      <c r="L39" t="s">
        <v>63</v>
      </c>
      <c r="M39">
        <v>2</v>
      </c>
      <c r="N39">
        <v>0.47849999999999998</v>
      </c>
      <c r="O39">
        <v>0.47620000000000001</v>
      </c>
      <c r="P39">
        <v>10000</v>
      </c>
      <c r="Q39">
        <v>2500</v>
      </c>
      <c r="R39">
        <v>7500</v>
      </c>
      <c r="S39">
        <v>4</v>
      </c>
      <c r="T39">
        <v>3</v>
      </c>
      <c r="W39">
        <v>206</v>
      </c>
      <c r="X39">
        <v>0</v>
      </c>
      <c r="Y39">
        <v>97.94</v>
      </c>
      <c r="Z39">
        <v>91.76</v>
      </c>
      <c r="AB39">
        <v>594320000</v>
      </c>
      <c r="AC39">
        <v>12242992</v>
      </c>
      <c r="AD39">
        <v>594320000</v>
      </c>
      <c r="AE39">
        <v>12242992</v>
      </c>
      <c r="AG39">
        <v>8.24</v>
      </c>
      <c r="AH39">
        <v>2.06</v>
      </c>
      <c r="AI39">
        <v>1</v>
      </c>
      <c r="AJ39">
        <v>4</v>
      </c>
      <c r="AK39">
        <v>9.7999999999999997E-3</v>
      </c>
      <c r="AL39">
        <v>1.22</v>
      </c>
      <c r="AM39">
        <v>1224</v>
      </c>
      <c r="AN39">
        <v>0.1308</v>
      </c>
      <c r="AO39">
        <v>30</v>
      </c>
      <c r="AP39">
        <v>21.87</v>
      </c>
      <c r="AQ39">
        <v>0.72</v>
      </c>
      <c r="AR39">
        <v>-6.06</v>
      </c>
      <c r="AS39">
        <v>1.92</v>
      </c>
      <c r="AT39">
        <v>18.559999999999999</v>
      </c>
      <c r="AU39">
        <v>6666.69</v>
      </c>
      <c r="AV39">
        <v>35.81</v>
      </c>
      <c r="AW39">
        <v>23.85</v>
      </c>
      <c r="AX39">
        <v>23.45</v>
      </c>
      <c r="AY39">
        <v>9.3496039999999994</v>
      </c>
      <c r="AZ39">
        <v>91.522795000000002</v>
      </c>
      <c r="BA39">
        <v>-20.762318</v>
      </c>
      <c r="BB39">
        <v>-0.99578200000000006</v>
      </c>
      <c r="BC39">
        <v>20.762318</v>
      </c>
      <c r="BD39">
        <v>18.751169999999998</v>
      </c>
      <c r="BE39">
        <v>182.99360899999999</v>
      </c>
      <c r="BF39">
        <v>-14.817862999999999</v>
      </c>
      <c r="BG39">
        <v>4.8858059999999996</v>
      </c>
      <c r="BH39">
        <v>14.817862999999999</v>
      </c>
    </row>
    <row r="40" spans="1:60" x14ac:dyDescent="0.25">
      <c r="A40" t="s">
        <v>138</v>
      </c>
      <c r="B40" t="s">
        <v>139</v>
      </c>
      <c r="C40">
        <v>6</v>
      </c>
      <c r="D40" t="s">
        <v>60</v>
      </c>
      <c r="E40" cm="1">
        <f t="array" ref="E40">_xlfn.SWITCH(D40,"QPSK",0.1,"16QAM",0.25,"64QAM",0.5,"256QAM",0.8,"1024QAM",1,"")</f>
        <v>1</v>
      </c>
      <c r="F40" cm="1">
        <f t="array" ref="F40">_xlfn.SWITCH(D40,"QPSK",0.05,"16QAM",0.15,"64QAM",0.4,"256QAM",0.75,"1024QAM",1,"")</f>
        <v>1</v>
      </c>
      <c r="G40" t="s">
        <v>61</v>
      </c>
      <c r="H40">
        <v>8</v>
      </c>
      <c r="I40" t="s">
        <v>62</v>
      </c>
      <c r="J40">
        <v>2</v>
      </c>
      <c r="K40">
        <v>2</v>
      </c>
      <c r="L40" t="s">
        <v>63</v>
      </c>
      <c r="M40">
        <v>2</v>
      </c>
      <c r="N40">
        <v>0.47849999999999998</v>
      </c>
      <c r="O40">
        <v>0.47620000000000001</v>
      </c>
      <c r="P40">
        <v>10000</v>
      </c>
      <c r="Q40">
        <v>2504</v>
      </c>
      <c r="R40">
        <v>7496</v>
      </c>
      <c r="S40">
        <v>3.99</v>
      </c>
      <c r="T40">
        <v>2.99</v>
      </c>
      <c r="W40">
        <v>180</v>
      </c>
      <c r="X40">
        <v>0</v>
      </c>
      <c r="Y40">
        <v>98.2</v>
      </c>
      <c r="Z40">
        <v>92.81</v>
      </c>
      <c r="AB40">
        <v>594320000</v>
      </c>
      <c r="AC40">
        <v>10697760</v>
      </c>
      <c r="AD40">
        <v>594320000</v>
      </c>
      <c r="AE40">
        <v>10697760</v>
      </c>
      <c r="AG40">
        <v>7.19</v>
      </c>
      <c r="AH40">
        <v>1.8</v>
      </c>
      <c r="AI40">
        <v>1</v>
      </c>
      <c r="AJ40">
        <v>3.9936099999999999</v>
      </c>
      <c r="AK40">
        <v>8.6E-3</v>
      </c>
      <c r="AL40">
        <v>1.07</v>
      </c>
      <c r="AM40">
        <v>1070</v>
      </c>
      <c r="AN40">
        <v>0.1143</v>
      </c>
      <c r="AO40">
        <v>30</v>
      </c>
      <c r="AP40">
        <v>21.87</v>
      </c>
      <c r="AQ40">
        <v>0.72</v>
      </c>
      <c r="AR40">
        <v>-6.06</v>
      </c>
      <c r="AS40">
        <v>1.92</v>
      </c>
      <c r="AT40">
        <v>18.670000000000002</v>
      </c>
      <c r="AU40">
        <v>6666.69</v>
      </c>
      <c r="AV40">
        <v>35.81</v>
      </c>
      <c r="AW40">
        <v>23.86</v>
      </c>
      <c r="AX40">
        <v>23.44</v>
      </c>
      <c r="AY40">
        <v>9.3419790000000003</v>
      </c>
      <c r="AZ40">
        <v>91.543600999999995</v>
      </c>
      <c r="BA40">
        <v>-20.769221999999999</v>
      </c>
      <c r="BB40">
        <v>-0.99310299999999996</v>
      </c>
      <c r="BC40">
        <v>20.769221999999999</v>
      </c>
      <c r="BD40">
        <v>18.745159000000001</v>
      </c>
      <c r="BE40">
        <v>182.97840600000001</v>
      </c>
      <c r="BF40">
        <v>-14.820395</v>
      </c>
      <c r="BG40">
        <v>4.8814130000000002</v>
      </c>
      <c r="BH40">
        <v>14.820395</v>
      </c>
    </row>
    <row r="41" spans="1:60" x14ac:dyDescent="0.25">
      <c r="A41" t="s">
        <v>140</v>
      </c>
      <c r="B41" t="s">
        <v>141</v>
      </c>
      <c r="C41">
        <v>8</v>
      </c>
      <c r="D41" t="s">
        <v>60</v>
      </c>
      <c r="E41" cm="1">
        <f t="array" ref="E41">_xlfn.SWITCH(D41,"QPSK",0.1,"16QAM",0.25,"64QAM",0.5,"256QAM",0.8,"1024QAM",1,"")</f>
        <v>1</v>
      </c>
      <c r="F41" cm="1">
        <f t="array" ref="F41">_xlfn.SWITCH(D41,"QPSK",0.05,"16QAM",0.15,"64QAM",0.4,"256QAM",0.75,"1024QAM",1,"")</f>
        <v>1</v>
      </c>
      <c r="G41" t="s">
        <v>61</v>
      </c>
      <c r="H41">
        <v>1</v>
      </c>
      <c r="I41" t="s">
        <v>62</v>
      </c>
      <c r="J41">
        <v>2</v>
      </c>
      <c r="K41">
        <v>2</v>
      </c>
      <c r="L41" t="s">
        <v>63</v>
      </c>
      <c r="M41">
        <v>2</v>
      </c>
      <c r="N41">
        <v>0.47849999999999998</v>
      </c>
      <c r="O41">
        <v>0.47620000000000001</v>
      </c>
      <c r="P41">
        <v>10000</v>
      </c>
      <c r="Q41">
        <v>2501</v>
      </c>
      <c r="R41">
        <v>7499</v>
      </c>
      <c r="S41">
        <v>4</v>
      </c>
      <c r="T41">
        <v>3</v>
      </c>
      <c r="W41">
        <v>603</v>
      </c>
      <c r="X41">
        <v>0</v>
      </c>
      <c r="Y41">
        <v>93.97</v>
      </c>
      <c r="Z41">
        <v>75.89</v>
      </c>
      <c r="AB41">
        <v>594320000</v>
      </c>
      <c r="AC41">
        <v>35837496</v>
      </c>
      <c r="AD41">
        <v>594320000</v>
      </c>
      <c r="AE41">
        <v>35837496</v>
      </c>
      <c r="AG41">
        <v>24.11</v>
      </c>
      <c r="AH41">
        <v>6.03</v>
      </c>
      <c r="AI41">
        <v>1</v>
      </c>
      <c r="AJ41">
        <v>3.9984009999999999</v>
      </c>
      <c r="AK41">
        <v>2.87E-2</v>
      </c>
      <c r="AL41">
        <v>3.58</v>
      </c>
      <c r="AM41">
        <v>3584</v>
      </c>
      <c r="AN41">
        <v>0.38290000000000002</v>
      </c>
      <c r="AO41">
        <v>30</v>
      </c>
      <c r="AP41">
        <v>21.87</v>
      </c>
      <c r="AQ41">
        <v>0.72</v>
      </c>
      <c r="AR41">
        <v>-6.07</v>
      </c>
      <c r="AS41">
        <v>1.95</v>
      </c>
      <c r="AT41">
        <v>20.77</v>
      </c>
      <c r="AU41">
        <v>6666.69</v>
      </c>
      <c r="AV41">
        <v>35.81</v>
      </c>
      <c r="AW41">
        <v>24.19</v>
      </c>
      <c r="AX41">
        <v>23.17</v>
      </c>
      <c r="AY41">
        <v>8.1024609999999999</v>
      </c>
      <c r="AZ41">
        <v>82.727185000000006</v>
      </c>
      <c r="BA41">
        <v>-22.019151999999998</v>
      </c>
      <c r="BB41">
        <v>-1.9900690000000001</v>
      </c>
      <c r="BC41">
        <v>22.019151999999998</v>
      </c>
      <c r="BD41">
        <v>17.223576999999999</v>
      </c>
      <c r="BE41">
        <v>168.50911300000001</v>
      </c>
      <c r="BF41">
        <v>-15.579502</v>
      </c>
      <c r="BG41">
        <v>4.1945750000000004</v>
      </c>
      <c r="BH41">
        <v>15.579502</v>
      </c>
    </row>
    <row r="42" spans="1:60" x14ac:dyDescent="0.25">
      <c r="A42" t="s">
        <v>142</v>
      </c>
      <c r="B42" t="s">
        <v>143</v>
      </c>
      <c r="C42">
        <v>8</v>
      </c>
      <c r="D42" t="s">
        <v>60</v>
      </c>
      <c r="E42" cm="1">
        <f t="array" ref="E42">_xlfn.SWITCH(D42,"QPSK",0.1,"16QAM",0.25,"64QAM",0.5,"256QAM",0.8,"1024QAM",1,"")</f>
        <v>1</v>
      </c>
      <c r="F42" cm="1">
        <f t="array" ref="F42">_xlfn.SWITCH(D42,"QPSK",0.05,"16QAM",0.15,"64QAM",0.4,"256QAM",0.75,"1024QAM",1,"")</f>
        <v>1</v>
      </c>
      <c r="G42" t="s">
        <v>61</v>
      </c>
      <c r="H42">
        <v>4</v>
      </c>
      <c r="I42" t="s">
        <v>62</v>
      </c>
      <c r="J42">
        <v>2</v>
      </c>
      <c r="K42">
        <v>2</v>
      </c>
      <c r="L42" t="s">
        <v>63</v>
      </c>
      <c r="M42">
        <v>2</v>
      </c>
      <c r="N42">
        <v>0.47849999999999998</v>
      </c>
      <c r="O42">
        <v>0.47620000000000001</v>
      </c>
      <c r="P42">
        <v>10000</v>
      </c>
      <c r="Q42">
        <v>2501</v>
      </c>
      <c r="R42">
        <v>7499</v>
      </c>
      <c r="S42">
        <v>4</v>
      </c>
      <c r="T42">
        <v>3</v>
      </c>
      <c r="W42">
        <v>561</v>
      </c>
      <c r="X42">
        <v>0</v>
      </c>
      <c r="Y42">
        <v>94.39</v>
      </c>
      <c r="Z42">
        <v>77.569999999999993</v>
      </c>
      <c r="AB42">
        <v>594320000</v>
      </c>
      <c r="AC42">
        <v>33341352</v>
      </c>
      <c r="AD42">
        <v>594320000</v>
      </c>
      <c r="AE42">
        <v>33341352</v>
      </c>
      <c r="AG42">
        <v>22.43</v>
      </c>
      <c r="AH42">
        <v>5.61</v>
      </c>
      <c r="AI42">
        <v>1</v>
      </c>
      <c r="AJ42">
        <v>3.9984009999999999</v>
      </c>
      <c r="AK42">
        <v>2.6700000000000002E-2</v>
      </c>
      <c r="AL42">
        <v>3.33</v>
      </c>
      <c r="AM42">
        <v>3334</v>
      </c>
      <c r="AN42">
        <v>0.35620000000000002</v>
      </c>
      <c r="AO42">
        <v>30</v>
      </c>
      <c r="AP42">
        <v>21.87</v>
      </c>
      <c r="AQ42">
        <v>0.72</v>
      </c>
      <c r="AR42">
        <v>-6.07</v>
      </c>
      <c r="AS42">
        <v>1.95</v>
      </c>
      <c r="AT42">
        <v>20.85</v>
      </c>
      <c r="AU42">
        <v>6666.69</v>
      </c>
      <c r="AV42">
        <v>35.81</v>
      </c>
      <c r="AW42">
        <v>24.19</v>
      </c>
      <c r="AX42">
        <v>23.17</v>
      </c>
      <c r="AY42">
        <v>8.101756</v>
      </c>
      <c r="AZ42">
        <v>82.697405000000003</v>
      </c>
      <c r="BA42">
        <v>-22.018592000000002</v>
      </c>
      <c r="BB42">
        <v>-1.987403</v>
      </c>
      <c r="BC42">
        <v>22.018592000000002</v>
      </c>
      <c r="BD42">
        <v>17.212517999999999</v>
      </c>
      <c r="BE42">
        <v>168.252205</v>
      </c>
      <c r="BF42">
        <v>-15.582812000000001</v>
      </c>
      <c r="BG42">
        <v>4.1812459999999998</v>
      </c>
      <c r="BH42">
        <v>15.582812000000001</v>
      </c>
    </row>
    <row r="43" spans="1:60" x14ac:dyDescent="0.25">
      <c r="A43" t="s">
        <v>144</v>
      </c>
      <c r="B43" t="s">
        <v>145</v>
      </c>
      <c r="C43">
        <v>8</v>
      </c>
      <c r="D43" t="s">
        <v>60</v>
      </c>
      <c r="E43" cm="1">
        <f t="array" ref="E43">_xlfn.SWITCH(D43,"QPSK",0.1,"16QAM",0.25,"64QAM",0.5,"256QAM",0.8,"1024QAM",1,"")</f>
        <v>1</v>
      </c>
      <c r="F43" cm="1">
        <f t="array" ref="F43">_xlfn.SWITCH(D43,"QPSK",0.05,"16QAM",0.15,"64QAM",0.4,"256QAM",0.75,"1024QAM",1,"")</f>
        <v>1</v>
      </c>
      <c r="G43" t="s">
        <v>61</v>
      </c>
      <c r="H43">
        <v>8</v>
      </c>
      <c r="I43" t="s">
        <v>62</v>
      </c>
      <c r="J43">
        <v>2</v>
      </c>
      <c r="K43">
        <v>2</v>
      </c>
      <c r="L43" t="s">
        <v>63</v>
      </c>
      <c r="M43">
        <v>2</v>
      </c>
      <c r="N43">
        <v>0.47849999999999998</v>
      </c>
      <c r="O43">
        <v>0.47620000000000001</v>
      </c>
      <c r="P43">
        <v>10000</v>
      </c>
      <c r="Q43">
        <v>2504</v>
      </c>
      <c r="R43">
        <v>7496</v>
      </c>
      <c r="S43">
        <v>3.99</v>
      </c>
      <c r="T43">
        <v>2.99</v>
      </c>
      <c r="W43">
        <v>498</v>
      </c>
      <c r="X43">
        <v>0</v>
      </c>
      <c r="Y43">
        <v>95.02</v>
      </c>
      <c r="Z43">
        <v>80.11</v>
      </c>
      <c r="AB43">
        <v>594320000</v>
      </c>
      <c r="AC43">
        <v>29597136</v>
      </c>
      <c r="AD43">
        <v>594320000</v>
      </c>
      <c r="AE43">
        <v>29597136</v>
      </c>
      <c r="AG43">
        <v>19.89</v>
      </c>
      <c r="AH43">
        <v>4.9800000000000004</v>
      </c>
      <c r="AI43">
        <v>1</v>
      </c>
      <c r="AJ43">
        <v>3.9936099999999999</v>
      </c>
      <c r="AK43">
        <v>2.3699999999999999E-2</v>
      </c>
      <c r="AL43">
        <v>2.96</v>
      </c>
      <c r="AM43">
        <v>2960</v>
      </c>
      <c r="AN43">
        <v>0.31619999999999998</v>
      </c>
      <c r="AO43">
        <v>30</v>
      </c>
      <c r="AP43">
        <v>21.87</v>
      </c>
      <c r="AQ43">
        <v>0.72</v>
      </c>
      <c r="AR43">
        <v>-6.07</v>
      </c>
      <c r="AS43">
        <v>1.95</v>
      </c>
      <c r="AT43">
        <v>20.8</v>
      </c>
      <c r="AU43">
        <v>6666.69</v>
      </c>
      <c r="AV43">
        <v>35.81</v>
      </c>
      <c r="AW43">
        <v>24.19</v>
      </c>
      <c r="AX43">
        <v>23.17</v>
      </c>
      <c r="AY43">
        <v>8.100543</v>
      </c>
      <c r="AZ43">
        <v>82.801432000000005</v>
      </c>
      <c r="BA43">
        <v>-22.021138000000001</v>
      </c>
      <c r="BB43">
        <v>-1.982917</v>
      </c>
      <c r="BC43">
        <v>22.021138000000001</v>
      </c>
      <c r="BD43">
        <v>17.223452999999999</v>
      </c>
      <c r="BE43">
        <v>168.541145</v>
      </c>
      <c r="BF43">
        <v>-15.577629</v>
      </c>
      <c r="BG43">
        <v>4.1955289999999996</v>
      </c>
      <c r="BH43">
        <v>15.577629</v>
      </c>
    </row>
    <row r="44" spans="1:60" x14ac:dyDescent="0.25">
      <c r="A44" t="s">
        <v>146</v>
      </c>
      <c r="B44" t="s">
        <v>147</v>
      </c>
      <c r="C44">
        <v>0</v>
      </c>
      <c r="D44" t="s">
        <v>148</v>
      </c>
      <c r="E44" cm="1">
        <f t="array" ref="E44">_xlfn.SWITCH(D44,"QPSK",0.1,"16QAM",0.25,"64QAM",0.5,"256QAM",0.8,"1024QAM",1,"")</f>
        <v>0.25</v>
      </c>
      <c r="F44" cm="1">
        <f t="array" ref="F44">_xlfn.SWITCH(D44,"QPSK",0.05,"16QAM",0.15,"64QAM",0.4,"256QAM",0.75,"1024QAM",1,"")</f>
        <v>0.15</v>
      </c>
      <c r="G44" t="s">
        <v>61</v>
      </c>
      <c r="H44">
        <v>16</v>
      </c>
      <c r="I44" t="s">
        <v>62</v>
      </c>
      <c r="J44">
        <v>2</v>
      </c>
      <c r="K44">
        <v>2</v>
      </c>
      <c r="L44" t="s">
        <v>63</v>
      </c>
      <c r="M44">
        <v>2</v>
      </c>
      <c r="N44">
        <v>0.47849999999999998</v>
      </c>
      <c r="O44">
        <v>0.48220000000000002</v>
      </c>
      <c r="P44">
        <v>5000</v>
      </c>
      <c r="Q44">
        <v>1264</v>
      </c>
      <c r="R44">
        <v>3736</v>
      </c>
      <c r="S44">
        <v>3.96</v>
      </c>
      <c r="T44">
        <v>295.57</v>
      </c>
      <c r="W44">
        <v>111</v>
      </c>
      <c r="X44">
        <v>1145</v>
      </c>
      <c r="Y44">
        <v>97.78</v>
      </c>
      <c r="Z44">
        <v>91.22</v>
      </c>
      <c r="AB44">
        <v>120360000</v>
      </c>
      <c r="AC44">
        <v>2671992</v>
      </c>
      <c r="AD44">
        <v>120360000</v>
      </c>
      <c r="AE44">
        <v>2671992</v>
      </c>
      <c r="AF44">
        <v>249600000</v>
      </c>
      <c r="AG44">
        <v>8.7799999999999994</v>
      </c>
      <c r="AH44">
        <v>2.2200000000000002</v>
      </c>
      <c r="AI44">
        <v>1</v>
      </c>
      <c r="AJ44">
        <v>3.9556960000000001</v>
      </c>
      <c r="AK44">
        <v>1.0699999999999999E-2</v>
      </c>
      <c r="AL44">
        <v>0.53</v>
      </c>
      <c r="AM44">
        <v>534</v>
      </c>
      <c r="AN44">
        <v>5.7099999999999998E-2</v>
      </c>
      <c r="AO44">
        <v>30</v>
      </c>
      <c r="AP44">
        <v>21.87</v>
      </c>
      <c r="AQ44">
        <v>0.72</v>
      </c>
      <c r="AR44">
        <v>-5.73</v>
      </c>
      <c r="AS44">
        <v>1.85</v>
      </c>
      <c r="AT44">
        <v>10.5</v>
      </c>
      <c r="AU44">
        <v>6666.69</v>
      </c>
      <c r="AV44">
        <v>35.81</v>
      </c>
      <c r="AW44">
        <v>9.33</v>
      </c>
      <c r="AX44">
        <v>6</v>
      </c>
      <c r="AY44">
        <v>34.880825999999999</v>
      </c>
      <c r="AZ44">
        <v>163.57828599999999</v>
      </c>
      <c r="BA44">
        <v>-9.1658439999999999</v>
      </c>
      <c r="BB44">
        <v>4.151796</v>
      </c>
      <c r="BC44">
        <v>9.1658439999999999</v>
      </c>
      <c r="BD44">
        <v>43.004221999999999</v>
      </c>
      <c r="BE44">
        <v>270.53611999999998</v>
      </c>
      <c r="BF44">
        <v>-7.3594020000000002</v>
      </c>
      <c r="BG44">
        <v>8.4268660000000004</v>
      </c>
      <c r="BH44">
        <v>7.3594020000000002</v>
      </c>
    </row>
    <row r="45" spans="1:60" x14ac:dyDescent="0.25">
      <c r="A45" t="s">
        <v>149</v>
      </c>
      <c r="B45" t="s">
        <v>150</v>
      </c>
      <c r="C45">
        <v>0</v>
      </c>
      <c r="D45" t="s">
        <v>148</v>
      </c>
      <c r="E45" cm="1">
        <f t="array" ref="E45">_xlfn.SWITCH(D45,"QPSK",0.1,"16QAM",0.25,"64QAM",0.5,"256QAM",0.8,"1024QAM",1,"")</f>
        <v>0.25</v>
      </c>
      <c r="F45" cm="1">
        <f t="array" ref="F45">_xlfn.SWITCH(D45,"QPSK",0.05,"16QAM",0.15,"64QAM",0.4,"256QAM",0.75,"1024QAM",1,"")</f>
        <v>0.15</v>
      </c>
      <c r="G45" t="s">
        <v>61</v>
      </c>
      <c r="H45">
        <v>1</v>
      </c>
      <c r="I45" t="s">
        <v>62</v>
      </c>
      <c r="J45">
        <v>2</v>
      </c>
      <c r="K45">
        <v>2</v>
      </c>
      <c r="L45" t="s">
        <v>63</v>
      </c>
      <c r="M45">
        <v>2</v>
      </c>
      <c r="N45">
        <v>0.47849999999999998</v>
      </c>
      <c r="O45">
        <v>0.48220000000000002</v>
      </c>
      <c r="P45">
        <v>10000</v>
      </c>
      <c r="Q45">
        <v>2524</v>
      </c>
      <c r="R45">
        <v>7476</v>
      </c>
      <c r="S45">
        <v>3.96</v>
      </c>
      <c r="T45">
        <v>2.96</v>
      </c>
      <c r="W45">
        <v>266</v>
      </c>
      <c r="X45">
        <v>0</v>
      </c>
      <c r="Y45">
        <v>97.34</v>
      </c>
      <c r="Z45">
        <v>89.46</v>
      </c>
      <c r="AB45">
        <v>240720000</v>
      </c>
      <c r="AC45">
        <v>6403152</v>
      </c>
      <c r="AD45">
        <v>240720000</v>
      </c>
      <c r="AE45">
        <v>6403152</v>
      </c>
      <c r="AG45">
        <v>10.54</v>
      </c>
      <c r="AH45">
        <v>2.66</v>
      </c>
      <c r="AI45">
        <v>1</v>
      </c>
      <c r="AJ45">
        <v>3.9619650000000002</v>
      </c>
      <c r="AK45">
        <v>1.2800000000000001E-2</v>
      </c>
      <c r="AL45">
        <v>0.64</v>
      </c>
      <c r="AM45">
        <v>640</v>
      </c>
      <c r="AN45">
        <v>6.8400000000000002E-2</v>
      </c>
      <c r="AO45">
        <v>30</v>
      </c>
      <c r="AP45">
        <v>21.87</v>
      </c>
      <c r="AQ45">
        <v>0.72</v>
      </c>
      <c r="AR45">
        <v>-5.86</v>
      </c>
      <c r="AS45">
        <v>1.82</v>
      </c>
      <c r="AT45">
        <v>10.18</v>
      </c>
      <c r="AU45">
        <v>6666.69</v>
      </c>
      <c r="AV45">
        <v>35.81</v>
      </c>
      <c r="AW45">
        <v>9.2899999999999991</v>
      </c>
      <c r="AX45">
        <v>5.92</v>
      </c>
      <c r="AY45">
        <v>35.011018999999997</v>
      </c>
      <c r="AZ45">
        <v>164.838055</v>
      </c>
      <c r="BA45">
        <v>-9.1327990000000003</v>
      </c>
      <c r="BB45">
        <v>4.2170180000000004</v>
      </c>
      <c r="BC45">
        <v>9.1327990000000003</v>
      </c>
      <c r="BD45">
        <v>43.275987999999998</v>
      </c>
      <c r="BE45">
        <v>275.49369100000001</v>
      </c>
      <c r="BF45">
        <v>-7.30769</v>
      </c>
      <c r="BG45">
        <v>8.5664739999999995</v>
      </c>
      <c r="BH45">
        <v>7.30769</v>
      </c>
    </row>
    <row r="46" spans="1:60" x14ac:dyDescent="0.25">
      <c r="A46" t="s">
        <v>151</v>
      </c>
      <c r="B46" t="s">
        <v>152</v>
      </c>
      <c r="C46">
        <v>0</v>
      </c>
      <c r="D46" t="s">
        <v>148</v>
      </c>
      <c r="E46" cm="1">
        <f t="array" ref="E46">_xlfn.SWITCH(D46,"QPSK",0.1,"16QAM",0.25,"64QAM",0.5,"256QAM",0.8,"1024QAM",1,"")</f>
        <v>0.25</v>
      </c>
      <c r="F46" cm="1">
        <f t="array" ref="F46">_xlfn.SWITCH(D46,"QPSK",0.05,"16QAM",0.15,"64QAM",0.4,"256QAM",0.75,"1024QAM",1,"")</f>
        <v>0.15</v>
      </c>
      <c r="G46" t="s">
        <v>61</v>
      </c>
      <c r="H46">
        <v>1</v>
      </c>
      <c r="I46" t="s">
        <v>62</v>
      </c>
      <c r="J46">
        <v>2</v>
      </c>
      <c r="K46">
        <v>2</v>
      </c>
      <c r="L46" t="s">
        <v>63</v>
      </c>
      <c r="M46">
        <v>2</v>
      </c>
      <c r="N46">
        <v>0.47849999999999998</v>
      </c>
      <c r="O46">
        <v>0.48220000000000002</v>
      </c>
      <c r="P46">
        <v>5000</v>
      </c>
      <c r="Q46">
        <v>1265</v>
      </c>
      <c r="R46">
        <v>3735</v>
      </c>
      <c r="S46">
        <v>3.95</v>
      </c>
      <c r="T46">
        <v>295.26</v>
      </c>
      <c r="W46">
        <v>150</v>
      </c>
      <c r="X46">
        <v>1114</v>
      </c>
      <c r="Y46">
        <v>97</v>
      </c>
      <c r="Z46">
        <v>88.14</v>
      </c>
      <c r="AB46">
        <v>120360000</v>
      </c>
      <c r="AC46">
        <v>3610800</v>
      </c>
      <c r="AD46">
        <v>120360000</v>
      </c>
      <c r="AE46">
        <v>3610800</v>
      </c>
      <c r="AF46">
        <v>249600000</v>
      </c>
      <c r="AG46">
        <v>11.86</v>
      </c>
      <c r="AH46">
        <v>3</v>
      </c>
      <c r="AI46">
        <v>1</v>
      </c>
      <c r="AJ46">
        <v>3.952569</v>
      </c>
      <c r="AK46">
        <v>1.4500000000000001E-2</v>
      </c>
      <c r="AL46">
        <v>0.72</v>
      </c>
      <c r="AM46">
        <v>722</v>
      </c>
      <c r="AN46">
        <v>7.7200000000000005E-2</v>
      </c>
      <c r="AO46">
        <v>30</v>
      </c>
      <c r="AP46">
        <v>21.87</v>
      </c>
      <c r="AQ46">
        <v>0.72</v>
      </c>
      <c r="AR46">
        <v>-5.73</v>
      </c>
      <c r="AS46">
        <v>1.84</v>
      </c>
      <c r="AT46">
        <v>10.53</v>
      </c>
      <c r="AU46">
        <v>6666.69</v>
      </c>
      <c r="AV46">
        <v>35.81</v>
      </c>
      <c r="AW46">
        <v>9.34</v>
      </c>
      <c r="AX46">
        <v>6</v>
      </c>
      <c r="AY46">
        <v>34.879044</v>
      </c>
      <c r="AZ46">
        <v>163.35704799999999</v>
      </c>
      <c r="BA46">
        <v>-9.1664779999999997</v>
      </c>
      <c r="BB46">
        <v>4.1354819999999997</v>
      </c>
      <c r="BC46">
        <v>9.1664779999999997</v>
      </c>
      <c r="BD46">
        <v>42.998282000000003</v>
      </c>
      <c r="BE46">
        <v>271.415412</v>
      </c>
      <c r="BF46">
        <v>-7.3598239999999997</v>
      </c>
      <c r="BG46">
        <v>8.4586459999999999</v>
      </c>
      <c r="BH46">
        <v>7.3598239999999997</v>
      </c>
    </row>
    <row r="47" spans="1:60" x14ac:dyDescent="0.25">
      <c r="A47" t="s">
        <v>153</v>
      </c>
      <c r="B47" t="s">
        <v>154</v>
      </c>
      <c r="C47">
        <v>0</v>
      </c>
      <c r="D47" t="s">
        <v>148</v>
      </c>
      <c r="E47" cm="1">
        <f t="array" ref="E47">_xlfn.SWITCH(D47,"QPSK",0.1,"16QAM",0.25,"64QAM",0.5,"256QAM",0.8,"1024QAM",1,"")</f>
        <v>0.25</v>
      </c>
      <c r="F47" cm="1">
        <f t="array" ref="F47">_xlfn.SWITCH(D47,"QPSK",0.05,"16QAM",0.15,"64QAM",0.4,"256QAM",0.75,"1024QAM",1,"")</f>
        <v>0.15</v>
      </c>
      <c r="G47" t="s">
        <v>61</v>
      </c>
      <c r="H47">
        <v>4</v>
      </c>
      <c r="I47" t="s">
        <v>62</v>
      </c>
      <c r="J47">
        <v>2</v>
      </c>
      <c r="K47">
        <v>2</v>
      </c>
      <c r="L47" t="s">
        <v>63</v>
      </c>
      <c r="M47">
        <v>2</v>
      </c>
      <c r="N47">
        <v>0.47849999999999998</v>
      </c>
      <c r="O47">
        <v>0.48220000000000002</v>
      </c>
      <c r="P47">
        <v>10000</v>
      </c>
      <c r="Q47">
        <v>2523</v>
      </c>
      <c r="R47">
        <v>7477</v>
      </c>
      <c r="S47">
        <v>3.96</v>
      </c>
      <c r="T47">
        <v>2.96</v>
      </c>
      <c r="W47">
        <v>259</v>
      </c>
      <c r="X47">
        <v>0</v>
      </c>
      <c r="Y47">
        <v>97.41</v>
      </c>
      <c r="Z47">
        <v>89.73</v>
      </c>
      <c r="AB47">
        <v>240720000</v>
      </c>
      <c r="AC47">
        <v>6234648</v>
      </c>
      <c r="AD47">
        <v>240720000</v>
      </c>
      <c r="AE47">
        <v>6234648</v>
      </c>
      <c r="AG47">
        <v>10.27</v>
      </c>
      <c r="AH47">
        <v>2.59</v>
      </c>
      <c r="AI47">
        <v>1</v>
      </c>
      <c r="AJ47">
        <v>3.9635349999999998</v>
      </c>
      <c r="AK47">
        <v>1.2500000000000001E-2</v>
      </c>
      <c r="AL47">
        <v>0.62</v>
      </c>
      <c r="AM47">
        <v>623</v>
      </c>
      <c r="AN47">
        <v>6.6600000000000006E-2</v>
      </c>
      <c r="AO47">
        <v>30</v>
      </c>
      <c r="AP47">
        <v>21.87</v>
      </c>
      <c r="AQ47">
        <v>0.72</v>
      </c>
      <c r="AR47">
        <v>-5.86</v>
      </c>
      <c r="AS47">
        <v>1.82</v>
      </c>
      <c r="AT47">
        <v>10.16</v>
      </c>
      <c r="AU47">
        <v>6666.69</v>
      </c>
      <c r="AV47">
        <v>35.81</v>
      </c>
      <c r="AW47">
        <v>9.2899999999999991</v>
      </c>
      <c r="AX47">
        <v>5.92</v>
      </c>
      <c r="AY47">
        <v>35.015377000000001</v>
      </c>
      <c r="AZ47">
        <v>165.05193600000001</v>
      </c>
      <c r="BA47">
        <v>-9.1316089999999992</v>
      </c>
      <c r="BB47">
        <v>4.2283080000000002</v>
      </c>
      <c r="BC47">
        <v>9.1316089999999992</v>
      </c>
      <c r="BD47">
        <v>43.264906000000003</v>
      </c>
      <c r="BE47">
        <v>275.297484</v>
      </c>
      <c r="BF47">
        <v>-7.3100540000000001</v>
      </c>
      <c r="BG47">
        <v>8.5658709999999996</v>
      </c>
      <c r="BH47">
        <v>7.3100540000000001</v>
      </c>
    </row>
    <row r="48" spans="1:60" x14ac:dyDescent="0.25">
      <c r="A48" t="s">
        <v>155</v>
      </c>
      <c r="B48" t="s">
        <v>152</v>
      </c>
      <c r="C48">
        <v>0</v>
      </c>
      <c r="D48" t="s">
        <v>148</v>
      </c>
      <c r="E48" cm="1">
        <f t="array" ref="E48">_xlfn.SWITCH(D48,"QPSK",0.1,"16QAM",0.25,"64QAM",0.5,"256QAM",0.8,"1024QAM",1,"")</f>
        <v>0.25</v>
      </c>
      <c r="F48" cm="1">
        <f t="array" ref="F48">_xlfn.SWITCH(D48,"QPSK",0.05,"16QAM",0.15,"64QAM",0.4,"256QAM",0.75,"1024QAM",1,"")</f>
        <v>0.15</v>
      </c>
      <c r="G48" t="s">
        <v>61</v>
      </c>
      <c r="H48">
        <v>4</v>
      </c>
      <c r="I48" t="s">
        <v>62</v>
      </c>
      <c r="J48">
        <v>2</v>
      </c>
      <c r="K48">
        <v>2</v>
      </c>
      <c r="L48" t="s">
        <v>63</v>
      </c>
      <c r="M48">
        <v>2</v>
      </c>
      <c r="N48">
        <v>0.47849999999999998</v>
      </c>
      <c r="O48">
        <v>0.48220000000000002</v>
      </c>
      <c r="P48">
        <v>5000</v>
      </c>
      <c r="Q48">
        <v>1265</v>
      </c>
      <c r="R48">
        <v>3735</v>
      </c>
      <c r="S48">
        <v>3.95</v>
      </c>
      <c r="T48">
        <v>295.26</v>
      </c>
      <c r="W48">
        <v>151</v>
      </c>
      <c r="X48">
        <v>1112</v>
      </c>
      <c r="Y48">
        <v>96.98</v>
      </c>
      <c r="Z48">
        <v>88.06</v>
      </c>
      <c r="AB48">
        <v>120360000</v>
      </c>
      <c r="AC48">
        <v>3634872</v>
      </c>
      <c r="AD48">
        <v>120360000</v>
      </c>
      <c r="AE48">
        <v>3634872</v>
      </c>
      <c r="AF48">
        <v>249600000</v>
      </c>
      <c r="AG48">
        <v>11.94</v>
      </c>
      <c r="AH48">
        <v>3.02</v>
      </c>
      <c r="AI48">
        <v>1</v>
      </c>
      <c r="AJ48">
        <v>3.952569</v>
      </c>
      <c r="AK48">
        <v>1.46E-2</v>
      </c>
      <c r="AL48">
        <v>0.73</v>
      </c>
      <c r="AM48">
        <v>727</v>
      </c>
      <c r="AN48">
        <v>7.7700000000000005E-2</v>
      </c>
      <c r="AO48">
        <v>30</v>
      </c>
      <c r="AP48">
        <v>21.87</v>
      </c>
      <c r="AQ48">
        <v>0.72</v>
      </c>
      <c r="AR48">
        <v>-5.73</v>
      </c>
      <c r="AS48">
        <v>1.84</v>
      </c>
      <c r="AT48">
        <v>10.59</v>
      </c>
      <c r="AU48">
        <v>6666.69</v>
      </c>
      <c r="AV48">
        <v>35.81</v>
      </c>
      <c r="AW48">
        <v>9.33</v>
      </c>
      <c r="AX48">
        <v>6</v>
      </c>
      <c r="AY48">
        <v>34.880454</v>
      </c>
      <c r="AZ48">
        <v>163.465552</v>
      </c>
      <c r="BA48">
        <v>-9.1658200000000001</v>
      </c>
      <c r="BB48">
        <v>4.1399600000000003</v>
      </c>
      <c r="BC48">
        <v>9.1658200000000001</v>
      </c>
      <c r="BD48">
        <v>42.996898000000002</v>
      </c>
      <c r="BE48">
        <v>271.14633400000002</v>
      </c>
      <c r="BF48">
        <v>-7.3607100000000001</v>
      </c>
      <c r="BG48">
        <v>8.4454999999999991</v>
      </c>
      <c r="BH48">
        <v>7.3607100000000001</v>
      </c>
    </row>
    <row r="49" spans="1:60" x14ac:dyDescent="0.25">
      <c r="A49" t="s">
        <v>156</v>
      </c>
      <c r="B49" t="s">
        <v>157</v>
      </c>
      <c r="C49">
        <v>0</v>
      </c>
      <c r="D49" t="s">
        <v>148</v>
      </c>
      <c r="E49" cm="1">
        <f t="array" ref="E49">_xlfn.SWITCH(D49,"QPSK",0.1,"16QAM",0.25,"64QAM",0.5,"256QAM",0.8,"1024QAM",1,"")</f>
        <v>0.25</v>
      </c>
      <c r="F49" cm="1">
        <f t="array" ref="F49">_xlfn.SWITCH(D49,"QPSK",0.05,"16QAM",0.15,"64QAM",0.4,"256QAM",0.75,"1024QAM",1,"")</f>
        <v>0.15</v>
      </c>
      <c r="G49" t="s">
        <v>61</v>
      </c>
      <c r="H49">
        <v>8</v>
      </c>
      <c r="I49" t="s">
        <v>62</v>
      </c>
      <c r="J49">
        <v>2</v>
      </c>
      <c r="K49">
        <v>2</v>
      </c>
      <c r="L49" t="s">
        <v>63</v>
      </c>
      <c r="M49">
        <v>2</v>
      </c>
      <c r="N49">
        <v>0.47849999999999998</v>
      </c>
      <c r="O49">
        <v>0.48220000000000002</v>
      </c>
      <c r="P49">
        <v>10000</v>
      </c>
      <c r="Q49">
        <v>2526</v>
      </c>
      <c r="R49">
        <v>7474</v>
      </c>
      <c r="S49">
        <v>3.96</v>
      </c>
      <c r="T49">
        <v>2.96</v>
      </c>
      <c r="W49">
        <v>244</v>
      </c>
      <c r="X49">
        <v>0</v>
      </c>
      <c r="Y49">
        <v>97.56</v>
      </c>
      <c r="Z49">
        <v>90.34</v>
      </c>
      <c r="AB49">
        <v>240720000</v>
      </c>
      <c r="AC49">
        <v>5873568</v>
      </c>
      <c r="AD49">
        <v>240720000</v>
      </c>
      <c r="AE49">
        <v>5873568</v>
      </c>
      <c r="AG49">
        <v>9.66</v>
      </c>
      <c r="AH49">
        <v>2.44</v>
      </c>
      <c r="AI49">
        <v>1</v>
      </c>
      <c r="AJ49">
        <v>3.958828</v>
      </c>
      <c r="AK49">
        <v>1.18E-2</v>
      </c>
      <c r="AL49">
        <v>0.59</v>
      </c>
      <c r="AM49">
        <v>587</v>
      </c>
      <c r="AN49">
        <v>6.2799999999999995E-2</v>
      </c>
      <c r="AO49">
        <v>30</v>
      </c>
      <c r="AP49">
        <v>21.87</v>
      </c>
      <c r="AQ49">
        <v>0.72</v>
      </c>
      <c r="AR49">
        <v>-5.86</v>
      </c>
      <c r="AS49">
        <v>1.82</v>
      </c>
      <c r="AT49">
        <v>10.08</v>
      </c>
      <c r="AU49">
        <v>6666.69</v>
      </c>
      <c r="AV49">
        <v>35.81</v>
      </c>
      <c r="AW49">
        <v>9.2899999999999991</v>
      </c>
      <c r="AX49">
        <v>5.92</v>
      </c>
      <c r="AY49">
        <v>35.016266999999999</v>
      </c>
      <c r="AZ49">
        <v>164.87051700000001</v>
      </c>
      <c r="BA49">
        <v>-9.1315449999999991</v>
      </c>
      <c r="BB49">
        <v>4.2178950000000004</v>
      </c>
      <c r="BC49">
        <v>9.1315449999999991</v>
      </c>
      <c r="BD49">
        <v>43.257939</v>
      </c>
      <c r="BE49">
        <v>274.78494499999999</v>
      </c>
      <c r="BF49">
        <v>-7.311445</v>
      </c>
      <c r="BG49">
        <v>8.5485190000000006</v>
      </c>
      <c r="BH49">
        <v>7.311445</v>
      </c>
    </row>
    <row r="50" spans="1:60" x14ac:dyDescent="0.25">
      <c r="A50" t="s">
        <v>158</v>
      </c>
      <c r="B50" t="s">
        <v>159</v>
      </c>
      <c r="C50">
        <v>10</v>
      </c>
      <c r="D50" t="s">
        <v>148</v>
      </c>
      <c r="E50" cm="1">
        <f t="array" ref="E50">_xlfn.SWITCH(D50,"QPSK",0.1,"16QAM",0.25,"64QAM",0.5,"256QAM",0.8,"1024QAM",1,"")</f>
        <v>0.25</v>
      </c>
      <c r="F50" cm="1">
        <f t="array" ref="F50">_xlfn.SWITCH(D50,"QPSK",0.05,"16QAM",0.15,"64QAM",0.4,"256QAM",0.75,"1024QAM",1,"")</f>
        <v>0.15</v>
      </c>
      <c r="G50" t="s">
        <v>61</v>
      </c>
      <c r="H50">
        <v>16</v>
      </c>
      <c r="I50" t="s">
        <v>62</v>
      </c>
      <c r="J50">
        <v>2</v>
      </c>
      <c r="K50">
        <v>2</v>
      </c>
      <c r="L50" t="s">
        <v>63</v>
      </c>
      <c r="M50">
        <v>2</v>
      </c>
      <c r="N50">
        <v>0.47849999999999998</v>
      </c>
      <c r="O50">
        <v>0.48220000000000002</v>
      </c>
      <c r="P50">
        <v>5000</v>
      </c>
      <c r="Q50">
        <v>2931</v>
      </c>
      <c r="R50">
        <v>2069</v>
      </c>
      <c r="S50">
        <v>1.71</v>
      </c>
      <c r="T50">
        <v>70.59</v>
      </c>
      <c r="W50">
        <v>2922</v>
      </c>
      <c r="X50">
        <v>0</v>
      </c>
      <c r="Y50">
        <v>41.56</v>
      </c>
      <c r="Z50">
        <v>0.31</v>
      </c>
      <c r="AB50">
        <v>120360000</v>
      </c>
      <c r="AC50">
        <v>70338384</v>
      </c>
      <c r="AD50">
        <v>120360000</v>
      </c>
      <c r="AE50">
        <v>70338384</v>
      </c>
      <c r="AF50">
        <v>249600000</v>
      </c>
      <c r="AG50">
        <v>99.69</v>
      </c>
      <c r="AH50">
        <v>58.44</v>
      </c>
      <c r="AI50">
        <v>1</v>
      </c>
      <c r="AJ50">
        <v>1.705902</v>
      </c>
      <c r="AK50">
        <v>0.28179999999999999</v>
      </c>
      <c r="AL50">
        <v>14.07</v>
      </c>
      <c r="AM50">
        <v>14068</v>
      </c>
      <c r="AN50">
        <v>1.5029999999999999</v>
      </c>
      <c r="AO50">
        <v>30</v>
      </c>
      <c r="AP50">
        <v>21.87</v>
      </c>
      <c r="AQ50">
        <v>0.72</v>
      </c>
      <c r="AR50">
        <v>-5.93</v>
      </c>
      <c r="AS50">
        <v>1.98</v>
      </c>
      <c r="AT50">
        <v>22.7</v>
      </c>
      <c r="AU50">
        <v>6666.69</v>
      </c>
      <c r="AV50">
        <v>35.81</v>
      </c>
      <c r="AW50">
        <v>12.4</v>
      </c>
      <c r="AX50">
        <v>9.3000000000000007</v>
      </c>
      <c r="AY50">
        <v>24.410413999999999</v>
      </c>
      <c r="AZ50">
        <v>92.298298000000003</v>
      </c>
      <c r="BA50">
        <v>-12.324738</v>
      </c>
      <c r="BB50">
        <v>-1.107286</v>
      </c>
      <c r="BC50">
        <v>12.324738</v>
      </c>
      <c r="BD50">
        <v>35.637324</v>
      </c>
      <c r="BE50">
        <v>181.82373000000001</v>
      </c>
      <c r="BF50">
        <v>-9.0234860000000001</v>
      </c>
      <c r="BG50">
        <v>4.9614880000000001</v>
      </c>
      <c r="BH50">
        <v>9.0234860000000001</v>
      </c>
    </row>
    <row r="51" spans="1:60" x14ac:dyDescent="0.25">
      <c r="A51" t="s">
        <v>160</v>
      </c>
      <c r="B51" t="s">
        <v>161</v>
      </c>
      <c r="C51">
        <v>10</v>
      </c>
      <c r="D51" t="s">
        <v>148</v>
      </c>
      <c r="E51" cm="1">
        <f t="array" ref="E51">_xlfn.SWITCH(D51,"QPSK",0.1,"16QAM",0.25,"64QAM",0.5,"256QAM",0.8,"1024QAM",1,"")</f>
        <v>0.25</v>
      </c>
      <c r="F51" cm="1">
        <f t="array" ref="F51">_xlfn.SWITCH(D51,"QPSK",0.05,"16QAM",0.15,"64QAM",0.4,"256QAM",0.75,"1024QAM",1,"")</f>
        <v>0.15</v>
      </c>
      <c r="G51" t="s">
        <v>61</v>
      </c>
      <c r="H51">
        <v>1</v>
      </c>
      <c r="I51" t="s">
        <v>62</v>
      </c>
      <c r="J51">
        <v>2</v>
      </c>
      <c r="K51">
        <v>2</v>
      </c>
      <c r="L51" t="s">
        <v>63</v>
      </c>
      <c r="M51">
        <v>2</v>
      </c>
      <c r="N51">
        <v>0.47849999999999998</v>
      </c>
      <c r="O51">
        <v>0.48220000000000002</v>
      </c>
      <c r="P51">
        <v>10000</v>
      </c>
      <c r="Q51">
        <v>5939</v>
      </c>
      <c r="R51">
        <v>4061</v>
      </c>
      <c r="S51">
        <v>1.68</v>
      </c>
      <c r="T51">
        <v>0.68</v>
      </c>
      <c r="W51">
        <v>5930</v>
      </c>
      <c r="X51">
        <v>0</v>
      </c>
      <c r="Y51">
        <v>40.700000000000003</v>
      </c>
      <c r="Z51">
        <v>0.15</v>
      </c>
      <c r="AB51">
        <v>240720000</v>
      </c>
      <c r="AC51">
        <v>142746960</v>
      </c>
      <c r="AD51">
        <v>240720000</v>
      </c>
      <c r="AE51">
        <v>142746960</v>
      </c>
      <c r="AG51">
        <v>99.85</v>
      </c>
      <c r="AH51">
        <v>59.3</v>
      </c>
      <c r="AI51">
        <v>1</v>
      </c>
      <c r="AJ51">
        <v>1.6837850000000001</v>
      </c>
      <c r="AK51">
        <v>0.28599999999999998</v>
      </c>
      <c r="AL51">
        <v>14.27</v>
      </c>
      <c r="AM51">
        <v>14275</v>
      </c>
      <c r="AN51">
        <v>1.5250999999999999</v>
      </c>
      <c r="AO51">
        <v>30</v>
      </c>
      <c r="AP51">
        <v>21.87</v>
      </c>
      <c r="AQ51">
        <v>0.72</v>
      </c>
      <c r="AR51">
        <v>-6.07</v>
      </c>
      <c r="AS51">
        <v>1.96</v>
      </c>
      <c r="AT51">
        <v>22.39</v>
      </c>
      <c r="AU51">
        <v>6666.69</v>
      </c>
      <c r="AV51">
        <v>35.81</v>
      </c>
      <c r="AW51">
        <v>12.32</v>
      </c>
      <c r="AX51">
        <v>9.2100000000000009</v>
      </c>
      <c r="AY51">
        <v>24.636123999999999</v>
      </c>
      <c r="AZ51">
        <v>93.782055999999997</v>
      </c>
      <c r="BA51">
        <v>-12.241519</v>
      </c>
      <c r="BB51">
        <v>-0.98398300000000005</v>
      </c>
      <c r="BC51">
        <v>12.241519</v>
      </c>
      <c r="BD51">
        <v>35.966414</v>
      </c>
      <c r="BE51">
        <v>184.57334</v>
      </c>
      <c r="BF51">
        <v>-8.9503439999999994</v>
      </c>
      <c r="BG51">
        <v>5.089734</v>
      </c>
      <c r="BH51">
        <v>8.9503439999999994</v>
      </c>
    </row>
    <row r="52" spans="1:60" x14ac:dyDescent="0.25">
      <c r="A52" t="s">
        <v>162</v>
      </c>
      <c r="B52" t="s">
        <v>163</v>
      </c>
      <c r="C52">
        <v>10</v>
      </c>
      <c r="D52" t="s">
        <v>148</v>
      </c>
      <c r="E52" cm="1">
        <f t="array" ref="E52">_xlfn.SWITCH(D52,"QPSK",0.1,"16QAM",0.25,"64QAM",0.5,"256QAM",0.8,"1024QAM",1,"")</f>
        <v>0.25</v>
      </c>
      <c r="F52" cm="1">
        <f t="array" ref="F52">_xlfn.SWITCH(D52,"QPSK",0.05,"16QAM",0.15,"64QAM",0.4,"256QAM",0.75,"1024QAM",1,"")</f>
        <v>0.15</v>
      </c>
      <c r="G52" t="s">
        <v>61</v>
      </c>
      <c r="H52">
        <v>1</v>
      </c>
      <c r="I52" t="s">
        <v>62</v>
      </c>
      <c r="J52">
        <v>2</v>
      </c>
      <c r="K52">
        <v>2</v>
      </c>
      <c r="L52" t="s">
        <v>63</v>
      </c>
      <c r="M52">
        <v>2</v>
      </c>
      <c r="N52">
        <v>0.47849999999999998</v>
      </c>
      <c r="O52">
        <v>0.48220000000000002</v>
      </c>
      <c r="P52">
        <v>10000</v>
      </c>
      <c r="Q52">
        <v>5923</v>
      </c>
      <c r="R52">
        <v>4077</v>
      </c>
      <c r="S52">
        <v>1.69</v>
      </c>
      <c r="T52">
        <v>0.69</v>
      </c>
      <c r="W52">
        <v>5914</v>
      </c>
      <c r="X52">
        <v>0</v>
      </c>
      <c r="Y52">
        <v>40.86</v>
      </c>
      <c r="Z52">
        <v>0.15</v>
      </c>
      <c r="AB52">
        <v>240720000</v>
      </c>
      <c r="AC52">
        <v>142361808</v>
      </c>
      <c r="AD52">
        <v>240720000</v>
      </c>
      <c r="AE52">
        <v>142361808</v>
      </c>
      <c r="AG52">
        <v>99.85</v>
      </c>
      <c r="AH52">
        <v>59.14</v>
      </c>
      <c r="AI52">
        <v>1</v>
      </c>
      <c r="AJ52">
        <v>1.688334</v>
      </c>
      <c r="AK52">
        <v>0.28520000000000001</v>
      </c>
      <c r="AL52">
        <v>14.24</v>
      </c>
      <c r="AM52">
        <v>14236</v>
      </c>
      <c r="AN52">
        <v>1.5209999999999999</v>
      </c>
      <c r="AO52">
        <v>30</v>
      </c>
      <c r="AP52">
        <v>21.87</v>
      </c>
      <c r="AQ52">
        <v>0.72</v>
      </c>
      <c r="AR52">
        <v>-6.07</v>
      </c>
      <c r="AS52">
        <v>1.96</v>
      </c>
      <c r="AT52">
        <v>21.91</v>
      </c>
      <c r="AU52">
        <v>6666.69</v>
      </c>
      <c r="AV52">
        <v>35.81</v>
      </c>
      <c r="AW52">
        <v>12.32</v>
      </c>
      <c r="AX52">
        <v>9.2100000000000009</v>
      </c>
      <c r="AY52">
        <v>24.623895999999998</v>
      </c>
      <c r="AZ52">
        <v>93.816321000000002</v>
      </c>
      <c r="BA52">
        <v>-12.245858999999999</v>
      </c>
      <c r="BB52">
        <v>-0.98621599999999998</v>
      </c>
      <c r="BC52">
        <v>12.245858999999999</v>
      </c>
      <c r="BD52">
        <v>35.963329999999999</v>
      </c>
      <c r="BE52">
        <v>185.02359799999999</v>
      </c>
      <c r="BF52">
        <v>-8.9511389999999995</v>
      </c>
      <c r="BG52">
        <v>5.1092639999999996</v>
      </c>
      <c r="BH52">
        <v>8.9511389999999995</v>
      </c>
    </row>
    <row r="53" spans="1:60" x14ac:dyDescent="0.25">
      <c r="A53" t="s">
        <v>164</v>
      </c>
      <c r="B53" t="s">
        <v>152</v>
      </c>
      <c r="C53">
        <v>10</v>
      </c>
      <c r="D53" t="s">
        <v>148</v>
      </c>
      <c r="E53" cm="1">
        <f t="array" ref="E53">_xlfn.SWITCH(D53,"QPSK",0.1,"16QAM",0.25,"64QAM",0.5,"256QAM",0.8,"1024QAM",1,"")</f>
        <v>0.25</v>
      </c>
      <c r="F53" cm="1">
        <f t="array" ref="F53">_xlfn.SWITCH(D53,"QPSK",0.05,"16QAM",0.15,"64QAM",0.4,"256QAM",0.75,"1024QAM",1,"")</f>
        <v>0.15</v>
      </c>
      <c r="G53" t="s">
        <v>61</v>
      </c>
      <c r="H53">
        <v>1</v>
      </c>
      <c r="I53" t="s">
        <v>62</v>
      </c>
      <c r="J53">
        <v>2</v>
      </c>
      <c r="K53">
        <v>2</v>
      </c>
      <c r="L53" t="s">
        <v>63</v>
      </c>
      <c r="M53">
        <v>2</v>
      </c>
      <c r="N53">
        <v>0.47849999999999998</v>
      </c>
      <c r="O53">
        <v>0.48220000000000002</v>
      </c>
      <c r="P53">
        <v>5000</v>
      </c>
      <c r="Q53">
        <v>3055</v>
      </c>
      <c r="R53">
        <v>1945</v>
      </c>
      <c r="S53">
        <v>1.64</v>
      </c>
      <c r="T53">
        <v>63.67</v>
      </c>
      <c r="W53">
        <v>3055</v>
      </c>
      <c r="X53">
        <v>0</v>
      </c>
      <c r="Y53">
        <v>38.9</v>
      </c>
      <c r="Z53">
        <v>0</v>
      </c>
      <c r="AB53">
        <v>120360000</v>
      </c>
      <c r="AC53">
        <v>73539960</v>
      </c>
      <c r="AD53">
        <v>120360000</v>
      </c>
      <c r="AE53">
        <v>73539960</v>
      </c>
      <c r="AF53">
        <v>249600000</v>
      </c>
      <c r="AG53">
        <v>100</v>
      </c>
      <c r="AH53">
        <v>61.1</v>
      </c>
      <c r="AI53">
        <v>1</v>
      </c>
      <c r="AJ53">
        <v>1.6366609999999999</v>
      </c>
      <c r="AK53">
        <v>0.29459999999999997</v>
      </c>
      <c r="AL53">
        <v>14.71</v>
      </c>
      <c r="AM53">
        <v>14708</v>
      </c>
      <c r="AN53">
        <v>1.5713999999999999</v>
      </c>
      <c r="AO53">
        <v>30</v>
      </c>
      <c r="AP53">
        <v>21.87</v>
      </c>
      <c r="AQ53">
        <v>0.72</v>
      </c>
      <c r="AR53">
        <v>-5.93</v>
      </c>
      <c r="AS53">
        <v>1.98</v>
      </c>
      <c r="AT53">
        <v>22.59</v>
      </c>
      <c r="AU53">
        <v>6666.69</v>
      </c>
      <c r="AV53">
        <v>35.81</v>
      </c>
      <c r="AW53">
        <v>12.4</v>
      </c>
      <c r="AX53">
        <v>9.3000000000000007</v>
      </c>
      <c r="AY53">
        <v>24.413177999999998</v>
      </c>
      <c r="AZ53">
        <v>92.237487999999999</v>
      </c>
      <c r="BA53">
        <v>-12.323962</v>
      </c>
      <c r="BB53">
        <v>-1.1050800000000001</v>
      </c>
      <c r="BC53">
        <v>12.323962</v>
      </c>
      <c r="BD53">
        <v>35.622065999999997</v>
      </c>
      <c r="BE53">
        <v>181.17192800000001</v>
      </c>
      <c r="BF53">
        <v>-9.0277460000000005</v>
      </c>
      <c r="BG53">
        <v>4.9285220000000001</v>
      </c>
      <c r="BH53">
        <v>9.0277460000000005</v>
      </c>
    </row>
    <row r="54" spans="1:60" x14ac:dyDescent="0.25">
      <c r="A54" t="s">
        <v>165</v>
      </c>
      <c r="B54" t="s">
        <v>166</v>
      </c>
      <c r="C54">
        <v>10</v>
      </c>
      <c r="D54" t="s">
        <v>148</v>
      </c>
      <c r="E54" cm="1">
        <f t="array" ref="E54">_xlfn.SWITCH(D54,"QPSK",0.1,"16QAM",0.25,"64QAM",0.5,"256QAM",0.8,"1024QAM",1,"")</f>
        <v>0.25</v>
      </c>
      <c r="F54" cm="1">
        <f t="array" ref="F54">_xlfn.SWITCH(D54,"QPSK",0.05,"16QAM",0.15,"64QAM",0.4,"256QAM",0.75,"1024QAM",1,"")</f>
        <v>0.15</v>
      </c>
      <c r="G54" t="s">
        <v>61</v>
      </c>
      <c r="H54">
        <v>4</v>
      </c>
      <c r="I54" t="s">
        <v>62</v>
      </c>
      <c r="J54">
        <v>2</v>
      </c>
      <c r="K54">
        <v>2</v>
      </c>
      <c r="L54" t="s">
        <v>63</v>
      </c>
      <c r="M54">
        <v>2</v>
      </c>
      <c r="N54">
        <v>0.47849999999999998</v>
      </c>
      <c r="O54">
        <v>0.48220000000000002</v>
      </c>
      <c r="P54">
        <v>10000</v>
      </c>
      <c r="Q54">
        <v>5870</v>
      </c>
      <c r="R54">
        <v>4130</v>
      </c>
      <c r="S54">
        <v>1.7</v>
      </c>
      <c r="T54">
        <v>0.7</v>
      </c>
      <c r="W54">
        <v>5861</v>
      </c>
      <c r="X54">
        <v>0</v>
      </c>
      <c r="Y54">
        <v>41.39</v>
      </c>
      <c r="Z54">
        <v>0.15</v>
      </c>
      <c r="AB54">
        <v>240720000</v>
      </c>
      <c r="AC54">
        <v>141085992</v>
      </c>
      <c r="AD54">
        <v>240720000</v>
      </c>
      <c r="AE54">
        <v>141085992</v>
      </c>
      <c r="AG54">
        <v>99.85</v>
      </c>
      <c r="AH54">
        <v>58.61</v>
      </c>
      <c r="AI54">
        <v>1</v>
      </c>
      <c r="AJ54">
        <v>1.703578</v>
      </c>
      <c r="AK54">
        <v>0.28260000000000002</v>
      </c>
      <c r="AL54">
        <v>14.11</v>
      </c>
      <c r="AM54">
        <v>14109</v>
      </c>
      <c r="AN54">
        <v>1.5073000000000001</v>
      </c>
      <c r="AO54">
        <v>30</v>
      </c>
      <c r="AP54">
        <v>21.87</v>
      </c>
      <c r="AQ54">
        <v>0.72</v>
      </c>
      <c r="AR54">
        <v>-6.07</v>
      </c>
      <c r="AS54">
        <v>1.97</v>
      </c>
      <c r="AT54">
        <v>21.94</v>
      </c>
      <c r="AU54">
        <v>6666.69</v>
      </c>
      <c r="AV54">
        <v>35.81</v>
      </c>
      <c r="AW54">
        <v>12.32</v>
      </c>
      <c r="AX54">
        <v>9.2100000000000009</v>
      </c>
      <c r="AY54">
        <v>24.633946999999999</v>
      </c>
      <c r="AZ54">
        <v>93.889733000000007</v>
      </c>
      <c r="BA54">
        <v>-12.242330000000001</v>
      </c>
      <c r="BB54">
        <v>-0.98393600000000003</v>
      </c>
      <c r="BC54">
        <v>12.242330000000001</v>
      </c>
      <c r="BD54">
        <v>35.968929000000003</v>
      </c>
      <c r="BE54">
        <v>185.01293999999999</v>
      </c>
      <c r="BF54">
        <v>-8.9498639999999998</v>
      </c>
      <c r="BG54">
        <v>5.1107570000000004</v>
      </c>
      <c r="BH54">
        <v>8.9498639999999998</v>
      </c>
    </row>
    <row r="55" spans="1:60" x14ac:dyDescent="0.25">
      <c r="A55" t="s">
        <v>167</v>
      </c>
      <c r="B55" t="s">
        <v>168</v>
      </c>
      <c r="C55">
        <v>10</v>
      </c>
      <c r="D55" t="s">
        <v>148</v>
      </c>
      <c r="E55" cm="1">
        <f t="array" ref="E55">_xlfn.SWITCH(D55,"QPSK",0.1,"16QAM",0.25,"64QAM",0.5,"256QAM",0.8,"1024QAM",1,"")</f>
        <v>0.25</v>
      </c>
      <c r="F55" cm="1">
        <f t="array" ref="F55">_xlfn.SWITCH(D55,"QPSK",0.05,"16QAM",0.15,"64QAM",0.4,"256QAM",0.75,"1024QAM",1,"")</f>
        <v>0.15</v>
      </c>
      <c r="G55" t="s">
        <v>61</v>
      </c>
      <c r="H55">
        <v>4</v>
      </c>
      <c r="I55" t="s">
        <v>62</v>
      </c>
      <c r="J55">
        <v>2</v>
      </c>
      <c r="K55">
        <v>2</v>
      </c>
      <c r="L55" t="s">
        <v>63</v>
      </c>
      <c r="M55">
        <v>2</v>
      </c>
      <c r="N55">
        <v>0.47849999999999998</v>
      </c>
      <c r="O55">
        <v>0.48220000000000002</v>
      </c>
      <c r="P55">
        <v>10000</v>
      </c>
      <c r="Q55">
        <v>5899</v>
      </c>
      <c r="R55">
        <v>4101</v>
      </c>
      <c r="S55">
        <v>1.7</v>
      </c>
      <c r="T55">
        <v>0.7</v>
      </c>
      <c r="W55">
        <v>5890</v>
      </c>
      <c r="X55">
        <v>0</v>
      </c>
      <c r="Y55">
        <v>41.1</v>
      </c>
      <c r="Z55">
        <v>0.15</v>
      </c>
      <c r="AB55">
        <v>240720000</v>
      </c>
      <c r="AC55">
        <v>141784080</v>
      </c>
      <c r="AD55">
        <v>240720000</v>
      </c>
      <c r="AE55">
        <v>141784080</v>
      </c>
      <c r="AG55">
        <v>99.85</v>
      </c>
      <c r="AH55">
        <v>58.9</v>
      </c>
      <c r="AI55">
        <v>1</v>
      </c>
      <c r="AJ55">
        <v>1.695203</v>
      </c>
      <c r="AK55">
        <v>0.28399999999999997</v>
      </c>
      <c r="AL55">
        <v>14.18</v>
      </c>
      <c r="AM55">
        <v>14178</v>
      </c>
      <c r="AN55">
        <v>1.5147999999999999</v>
      </c>
      <c r="AO55">
        <v>30</v>
      </c>
      <c r="AP55">
        <v>21.87</v>
      </c>
      <c r="AQ55">
        <v>0.72</v>
      </c>
      <c r="AR55">
        <v>-6.07</v>
      </c>
      <c r="AS55">
        <v>1.96</v>
      </c>
      <c r="AT55">
        <v>21.91</v>
      </c>
      <c r="AU55">
        <v>6666.69</v>
      </c>
      <c r="AV55">
        <v>35.81</v>
      </c>
      <c r="AW55">
        <v>12.32</v>
      </c>
      <c r="AX55">
        <v>9.2100000000000009</v>
      </c>
      <c r="AY55">
        <v>24.633376999999999</v>
      </c>
      <c r="AZ55">
        <v>93.715278999999995</v>
      </c>
      <c r="BA55">
        <v>-12.242452</v>
      </c>
      <c r="BB55">
        <v>-0.99427500000000002</v>
      </c>
      <c r="BC55">
        <v>12.242452</v>
      </c>
      <c r="BD55">
        <v>35.963403</v>
      </c>
      <c r="BE55">
        <v>184.583382</v>
      </c>
      <c r="BF55">
        <v>-8.9512839999999994</v>
      </c>
      <c r="BG55">
        <v>5.0896499999999998</v>
      </c>
      <c r="BH55">
        <v>8.9512839999999994</v>
      </c>
    </row>
    <row r="56" spans="1:60" x14ac:dyDescent="0.25">
      <c r="A56" t="s">
        <v>169</v>
      </c>
      <c r="B56" t="s">
        <v>170</v>
      </c>
      <c r="C56">
        <v>10</v>
      </c>
      <c r="D56" t="s">
        <v>148</v>
      </c>
      <c r="E56" cm="1">
        <f t="array" ref="E56">_xlfn.SWITCH(D56,"QPSK",0.1,"16QAM",0.25,"64QAM",0.5,"256QAM",0.8,"1024QAM",1,"")</f>
        <v>0.25</v>
      </c>
      <c r="F56" cm="1">
        <f t="array" ref="F56">_xlfn.SWITCH(D56,"QPSK",0.05,"16QAM",0.15,"64QAM",0.4,"256QAM",0.75,"1024QAM",1,"")</f>
        <v>0.15</v>
      </c>
      <c r="G56" t="s">
        <v>61</v>
      </c>
      <c r="H56">
        <v>4</v>
      </c>
      <c r="I56" t="s">
        <v>62</v>
      </c>
      <c r="J56">
        <v>2</v>
      </c>
      <c r="K56">
        <v>2</v>
      </c>
      <c r="L56" t="s">
        <v>63</v>
      </c>
      <c r="M56">
        <v>2</v>
      </c>
      <c r="N56">
        <v>0.47849999999999998</v>
      </c>
      <c r="O56">
        <v>0.48220000000000002</v>
      </c>
      <c r="P56">
        <v>5000</v>
      </c>
      <c r="Q56">
        <v>3017</v>
      </c>
      <c r="R56">
        <v>1983</v>
      </c>
      <c r="S56">
        <v>1.66</v>
      </c>
      <c r="T56">
        <v>65.73</v>
      </c>
      <c r="W56">
        <v>3016</v>
      </c>
      <c r="X56">
        <v>0</v>
      </c>
      <c r="Y56">
        <v>39.68</v>
      </c>
      <c r="Z56">
        <v>0.03</v>
      </c>
      <c r="AB56">
        <v>120360000</v>
      </c>
      <c r="AC56">
        <v>72601152</v>
      </c>
      <c r="AD56">
        <v>120360000</v>
      </c>
      <c r="AE56">
        <v>72601152</v>
      </c>
      <c r="AF56">
        <v>249600000</v>
      </c>
      <c r="AG56">
        <v>99.97</v>
      </c>
      <c r="AH56">
        <v>60.32</v>
      </c>
      <c r="AI56">
        <v>1</v>
      </c>
      <c r="AJ56">
        <v>1.6572750000000001</v>
      </c>
      <c r="AK56">
        <v>0.29089999999999999</v>
      </c>
      <c r="AL56">
        <v>14.52</v>
      </c>
      <c r="AM56">
        <v>14520</v>
      </c>
      <c r="AN56">
        <v>1.5512999999999999</v>
      </c>
      <c r="AO56">
        <v>30</v>
      </c>
      <c r="AP56">
        <v>21.87</v>
      </c>
      <c r="AQ56">
        <v>0.72</v>
      </c>
      <c r="AR56">
        <v>-5.93</v>
      </c>
      <c r="AS56">
        <v>1.98</v>
      </c>
      <c r="AT56">
        <v>22.55</v>
      </c>
      <c r="AU56">
        <v>6666.69</v>
      </c>
      <c r="AV56">
        <v>35.81</v>
      </c>
      <c r="AW56">
        <v>12.4</v>
      </c>
      <c r="AX56">
        <v>9.3000000000000007</v>
      </c>
      <c r="AY56">
        <v>24.404216000000002</v>
      </c>
      <c r="AZ56">
        <v>92.167997999999997</v>
      </c>
      <c r="BA56">
        <v>-12.326722</v>
      </c>
      <c r="BB56">
        <v>-1.112112</v>
      </c>
      <c r="BC56">
        <v>12.326722</v>
      </c>
      <c r="BD56">
        <v>35.603988000000001</v>
      </c>
      <c r="BE56">
        <v>180.65596400000001</v>
      </c>
      <c r="BF56">
        <v>-9.031606</v>
      </c>
      <c r="BG56">
        <v>4.9120020000000002</v>
      </c>
      <c r="BH56">
        <v>9.031606</v>
      </c>
    </row>
    <row r="57" spans="1:60" x14ac:dyDescent="0.25">
      <c r="A57" t="s">
        <v>171</v>
      </c>
      <c r="B57" t="s">
        <v>172</v>
      </c>
      <c r="C57">
        <v>10</v>
      </c>
      <c r="D57" t="s">
        <v>148</v>
      </c>
      <c r="E57" cm="1">
        <f t="array" ref="E57">_xlfn.SWITCH(D57,"QPSK",0.1,"16QAM",0.25,"64QAM",0.5,"256QAM",0.8,"1024QAM",1,"")</f>
        <v>0.25</v>
      </c>
      <c r="F57" cm="1">
        <f t="array" ref="F57">_xlfn.SWITCH(D57,"QPSK",0.05,"16QAM",0.15,"64QAM",0.4,"256QAM",0.75,"1024QAM",1,"")</f>
        <v>0.15</v>
      </c>
      <c r="G57" t="s">
        <v>61</v>
      </c>
      <c r="H57">
        <v>8</v>
      </c>
      <c r="I57" t="s">
        <v>62</v>
      </c>
      <c r="J57">
        <v>2</v>
      </c>
      <c r="K57">
        <v>2</v>
      </c>
      <c r="L57" t="s">
        <v>63</v>
      </c>
      <c r="M57">
        <v>2</v>
      </c>
      <c r="N57">
        <v>0.47849999999999998</v>
      </c>
      <c r="O57">
        <v>0.48220000000000002</v>
      </c>
      <c r="P57">
        <v>10000</v>
      </c>
      <c r="Q57">
        <v>5819</v>
      </c>
      <c r="R57">
        <v>4181</v>
      </c>
      <c r="S57">
        <v>1.72</v>
      </c>
      <c r="T57">
        <v>0.72</v>
      </c>
      <c r="W57">
        <v>5811</v>
      </c>
      <c r="X57">
        <v>0</v>
      </c>
      <c r="Y57">
        <v>41.89</v>
      </c>
      <c r="Z57">
        <v>0.14000000000000001</v>
      </c>
      <c r="AB57">
        <v>240720000</v>
      </c>
      <c r="AC57">
        <v>139882392</v>
      </c>
      <c r="AD57">
        <v>240720000</v>
      </c>
      <c r="AE57">
        <v>139882392</v>
      </c>
      <c r="AG57">
        <v>99.86</v>
      </c>
      <c r="AH57">
        <v>58.11</v>
      </c>
      <c r="AI57">
        <v>1</v>
      </c>
      <c r="AJ57">
        <v>1.7185079999999999</v>
      </c>
      <c r="AK57">
        <v>0.2802</v>
      </c>
      <c r="AL57">
        <v>13.99</v>
      </c>
      <c r="AM57">
        <v>13988</v>
      </c>
      <c r="AN57">
        <v>1.4944999999999999</v>
      </c>
      <c r="AO57">
        <v>30</v>
      </c>
      <c r="AP57">
        <v>21.87</v>
      </c>
      <c r="AQ57">
        <v>0.72</v>
      </c>
      <c r="AR57">
        <v>-6.07</v>
      </c>
      <c r="AS57">
        <v>1.96</v>
      </c>
      <c r="AT57">
        <v>21.85</v>
      </c>
      <c r="AU57">
        <v>6666.69</v>
      </c>
      <c r="AV57">
        <v>35.81</v>
      </c>
      <c r="AW57">
        <v>12.32</v>
      </c>
      <c r="AX57">
        <v>9.2100000000000009</v>
      </c>
      <c r="AY57">
        <v>24.629276000000001</v>
      </c>
      <c r="AZ57">
        <v>93.515131999999994</v>
      </c>
      <c r="BA57">
        <v>-12.243969</v>
      </c>
      <c r="BB57">
        <v>-1.009112</v>
      </c>
      <c r="BC57">
        <v>12.243969</v>
      </c>
      <c r="BD57">
        <v>35.959989</v>
      </c>
      <c r="BE57">
        <v>184.84078400000001</v>
      </c>
      <c r="BF57">
        <v>-8.9517349999999993</v>
      </c>
      <c r="BG57">
        <v>5.1030220000000002</v>
      </c>
      <c r="BH57">
        <v>8.9517349999999993</v>
      </c>
    </row>
    <row r="58" spans="1:60" x14ac:dyDescent="0.25">
      <c r="A58" t="s">
        <v>173</v>
      </c>
      <c r="B58" t="s">
        <v>174</v>
      </c>
      <c r="C58">
        <v>10</v>
      </c>
      <c r="D58" t="s">
        <v>148</v>
      </c>
      <c r="E58" cm="1">
        <f t="array" ref="E58">_xlfn.SWITCH(D58,"QPSK",0.1,"16QAM",0.25,"64QAM",0.5,"256QAM",0.8,"1024QAM",1,"")</f>
        <v>0.25</v>
      </c>
      <c r="F58" cm="1">
        <f t="array" ref="F58">_xlfn.SWITCH(D58,"QPSK",0.05,"16QAM",0.15,"64QAM",0.4,"256QAM",0.75,"1024QAM",1,"")</f>
        <v>0.15</v>
      </c>
      <c r="G58" t="s">
        <v>61</v>
      </c>
      <c r="H58">
        <v>8</v>
      </c>
      <c r="I58" t="s">
        <v>62</v>
      </c>
      <c r="J58">
        <v>2</v>
      </c>
      <c r="K58">
        <v>2</v>
      </c>
      <c r="L58" t="s">
        <v>63</v>
      </c>
      <c r="M58">
        <v>2</v>
      </c>
      <c r="N58">
        <v>0.47849999999999998</v>
      </c>
      <c r="O58">
        <v>0.48220000000000002</v>
      </c>
      <c r="P58">
        <v>10000</v>
      </c>
      <c r="Q58">
        <v>5831</v>
      </c>
      <c r="R58">
        <v>4169</v>
      </c>
      <c r="S58">
        <v>1.71</v>
      </c>
      <c r="T58">
        <v>0.71</v>
      </c>
      <c r="W58">
        <v>5823</v>
      </c>
      <c r="X58">
        <v>0</v>
      </c>
      <c r="Y58">
        <v>41.77</v>
      </c>
      <c r="Z58">
        <v>0.14000000000000001</v>
      </c>
      <c r="AB58">
        <v>240720000</v>
      </c>
      <c r="AC58">
        <v>140171256</v>
      </c>
      <c r="AD58">
        <v>240720000</v>
      </c>
      <c r="AE58">
        <v>140171256</v>
      </c>
      <c r="AG58">
        <v>99.86</v>
      </c>
      <c r="AH58">
        <v>58.23</v>
      </c>
      <c r="AI58">
        <v>1</v>
      </c>
      <c r="AJ58">
        <v>1.7149719999999999</v>
      </c>
      <c r="AK58">
        <v>0.28079999999999999</v>
      </c>
      <c r="AL58">
        <v>14.02</v>
      </c>
      <c r="AM58">
        <v>14017</v>
      </c>
      <c r="AN58">
        <v>1.4976</v>
      </c>
      <c r="AO58">
        <v>30</v>
      </c>
      <c r="AP58">
        <v>21.87</v>
      </c>
      <c r="AQ58">
        <v>0.72</v>
      </c>
      <c r="AR58">
        <v>-6.07</v>
      </c>
      <c r="AS58">
        <v>1.97</v>
      </c>
      <c r="AT58">
        <v>22.15</v>
      </c>
      <c r="AU58">
        <v>6666.69</v>
      </c>
      <c r="AV58">
        <v>35.81</v>
      </c>
      <c r="AW58">
        <v>12.32</v>
      </c>
      <c r="AX58">
        <v>9.2100000000000009</v>
      </c>
      <c r="AY58">
        <v>24.629425000000001</v>
      </c>
      <c r="AZ58">
        <v>93.568797000000004</v>
      </c>
      <c r="BA58">
        <v>-12.244115000000001</v>
      </c>
      <c r="BB58">
        <v>-1.004367</v>
      </c>
      <c r="BC58">
        <v>12.244115000000001</v>
      </c>
      <c r="BD58">
        <v>35.963825999999997</v>
      </c>
      <c r="BE58">
        <v>184.975651</v>
      </c>
      <c r="BF58">
        <v>-8.9509170000000005</v>
      </c>
      <c r="BG58">
        <v>5.1077469999999998</v>
      </c>
      <c r="BH58">
        <v>8.9509170000000005</v>
      </c>
    </row>
    <row r="59" spans="1:60" x14ac:dyDescent="0.25">
      <c r="A59" t="s">
        <v>175</v>
      </c>
      <c r="B59" t="s">
        <v>176</v>
      </c>
      <c r="C59">
        <v>12</v>
      </c>
      <c r="D59" t="s">
        <v>148</v>
      </c>
      <c r="E59" cm="1">
        <f t="array" ref="E59">_xlfn.SWITCH(D59,"QPSK",0.1,"16QAM",0.25,"64QAM",0.5,"256QAM",0.8,"1024QAM",1,"")</f>
        <v>0.25</v>
      </c>
      <c r="F59" cm="1">
        <f t="array" ref="F59">_xlfn.SWITCH(D59,"QPSK",0.05,"16QAM",0.15,"64QAM",0.4,"256QAM",0.75,"1024QAM",1,"")</f>
        <v>0.15</v>
      </c>
      <c r="G59" t="s">
        <v>61</v>
      </c>
      <c r="H59">
        <v>16</v>
      </c>
      <c r="I59" t="s">
        <v>62</v>
      </c>
      <c r="J59">
        <v>2</v>
      </c>
      <c r="K59">
        <v>2</v>
      </c>
      <c r="L59" t="s">
        <v>63</v>
      </c>
      <c r="M59">
        <v>2</v>
      </c>
      <c r="N59">
        <v>0.47849999999999998</v>
      </c>
      <c r="O59">
        <v>0.48220000000000002</v>
      </c>
      <c r="P59">
        <v>5000</v>
      </c>
      <c r="Q59">
        <v>3528</v>
      </c>
      <c r="R59">
        <v>1472</v>
      </c>
      <c r="S59">
        <v>1.42</v>
      </c>
      <c r="T59">
        <v>41.72</v>
      </c>
      <c r="W59">
        <v>3528</v>
      </c>
      <c r="X59">
        <v>0</v>
      </c>
      <c r="Y59">
        <v>29.44</v>
      </c>
      <c r="Z59">
        <v>0</v>
      </c>
      <c r="AB59">
        <v>120360000</v>
      </c>
      <c r="AC59">
        <v>84926016</v>
      </c>
      <c r="AD59">
        <v>120360000</v>
      </c>
      <c r="AE59">
        <v>84926016</v>
      </c>
      <c r="AF59">
        <v>249600000</v>
      </c>
      <c r="AG59">
        <v>100</v>
      </c>
      <c r="AH59">
        <v>70.56</v>
      </c>
      <c r="AI59">
        <v>1</v>
      </c>
      <c r="AJ59">
        <v>1.4172340000000001</v>
      </c>
      <c r="AK59">
        <v>0.3402</v>
      </c>
      <c r="AL59">
        <v>16.989999999999998</v>
      </c>
      <c r="AM59">
        <v>16985</v>
      </c>
      <c r="AN59">
        <v>1.8147</v>
      </c>
      <c r="AO59">
        <v>30</v>
      </c>
      <c r="AP59">
        <v>21.87</v>
      </c>
      <c r="AQ59">
        <v>0.72</v>
      </c>
      <c r="AR59">
        <v>-5.93</v>
      </c>
      <c r="AS59">
        <v>1.97</v>
      </c>
      <c r="AT59">
        <v>22.4</v>
      </c>
      <c r="AU59">
        <v>6666.69</v>
      </c>
      <c r="AV59">
        <v>35.81</v>
      </c>
      <c r="AW59">
        <v>13.24</v>
      </c>
      <c r="AX59">
        <v>9.73</v>
      </c>
      <c r="AY59">
        <v>22.186944</v>
      </c>
      <c r="AZ59">
        <v>91.390923999999998</v>
      </c>
      <c r="BA59">
        <v>-13.184844</v>
      </c>
      <c r="BB59">
        <v>-1.304562</v>
      </c>
      <c r="BC59">
        <v>13.184844</v>
      </c>
      <c r="BD59">
        <v>34.041642000000003</v>
      </c>
      <c r="BE59">
        <v>178.68883199999999</v>
      </c>
      <c r="BF59">
        <v>-9.4226720000000004</v>
      </c>
      <c r="BG59">
        <v>4.8640319999999999</v>
      </c>
      <c r="BH59">
        <v>9.4226720000000004</v>
      </c>
    </row>
    <row r="60" spans="1:60" x14ac:dyDescent="0.25">
      <c r="A60" t="s">
        <v>177</v>
      </c>
      <c r="B60" t="s">
        <v>178</v>
      </c>
      <c r="C60">
        <v>12</v>
      </c>
      <c r="D60" t="s">
        <v>148</v>
      </c>
      <c r="E60" cm="1">
        <f t="array" ref="E60">_xlfn.SWITCH(D60,"QPSK",0.1,"16QAM",0.25,"64QAM",0.5,"256QAM",0.8,"1024QAM",1,"")</f>
        <v>0.25</v>
      </c>
      <c r="F60" cm="1">
        <f t="array" ref="F60">_xlfn.SWITCH(D60,"QPSK",0.05,"16QAM",0.15,"64QAM",0.4,"256QAM",0.75,"1024QAM",1,"")</f>
        <v>0.15</v>
      </c>
      <c r="G60" t="s">
        <v>61</v>
      </c>
      <c r="H60">
        <v>1</v>
      </c>
      <c r="I60" t="s">
        <v>62</v>
      </c>
      <c r="J60">
        <v>2</v>
      </c>
      <c r="K60">
        <v>2</v>
      </c>
      <c r="L60" t="s">
        <v>63</v>
      </c>
      <c r="M60">
        <v>2</v>
      </c>
      <c r="N60">
        <v>0.47849999999999998</v>
      </c>
      <c r="O60">
        <v>0.48220000000000002</v>
      </c>
      <c r="P60">
        <v>10000</v>
      </c>
      <c r="Q60">
        <v>7183</v>
      </c>
      <c r="R60">
        <v>2817</v>
      </c>
      <c r="S60">
        <v>1.39</v>
      </c>
      <c r="T60">
        <v>0.39</v>
      </c>
      <c r="W60">
        <v>7182</v>
      </c>
      <c r="X60">
        <v>0</v>
      </c>
      <c r="Y60">
        <v>28.18</v>
      </c>
      <c r="Z60">
        <v>0.01</v>
      </c>
      <c r="AB60">
        <v>240720000</v>
      </c>
      <c r="AC60">
        <v>172885104</v>
      </c>
      <c r="AD60">
        <v>240720000</v>
      </c>
      <c r="AE60">
        <v>172885104</v>
      </c>
      <c r="AG60">
        <v>99.99</v>
      </c>
      <c r="AH60">
        <v>71.819999999999993</v>
      </c>
      <c r="AI60">
        <v>1</v>
      </c>
      <c r="AJ60">
        <v>1.3921760000000001</v>
      </c>
      <c r="AK60">
        <v>0.3463</v>
      </c>
      <c r="AL60">
        <v>17.29</v>
      </c>
      <c r="AM60">
        <v>17289</v>
      </c>
      <c r="AN60">
        <v>1.8471</v>
      </c>
      <c r="AO60">
        <v>30</v>
      </c>
      <c r="AP60">
        <v>21.87</v>
      </c>
      <c r="AQ60">
        <v>0.72</v>
      </c>
      <c r="AR60">
        <v>-6.07</v>
      </c>
      <c r="AS60">
        <v>1.96</v>
      </c>
      <c r="AT60">
        <v>22.23</v>
      </c>
      <c r="AU60">
        <v>6666.69</v>
      </c>
      <c r="AV60">
        <v>35.81</v>
      </c>
      <c r="AW60">
        <v>13.18</v>
      </c>
      <c r="AX60">
        <v>9.67</v>
      </c>
      <c r="AY60">
        <v>22.348479000000001</v>
      </c>
      <c r="AZ60">
        <v>91.484532999999999</v>
      </c>
      <c r="BA60">
        <v>-13.120556000000001</v>
      </c>
      <c r="BB60">
        <v>-1.3283160000000001</v>
      </c>
      <c r="BC60">
        <v>13.120556000000001</v>
      </c>
      <c r="BD60">
        <v>34.317768999999998</v>
      </c>
      <c r="BE60">
        <v>179.44008299999999</v>
      </c>
      <c r="BF60">
        <v>-9.3592739999999992</v>
      </c>
      <c r="BG60">
        <v>4.9002439999999998</v>
      </c>
      <c r="BH60">
        <v>9.3592739999999992</v>
      </c>
    </row>
    <row r="61" spans="1:60" x14ac:dyDescent="0.25">
      <c r="A61" t="s">
        <v>179</v>
      </c>
      <c r="B61" t="s">
        <v>152</v>
      </c>
      <c r="C61">
        <v>12</v>
      </c>
      <c r="D61" t="s">
        <v>148</v>
      </c>
      <c r="E61" cm="1">
        <f t="array" ref="E61">_xlfn.SWITCH(D61,"QPSK",0.1,"16QAM",0.25,"64QAM",0.5,"256QAM",0.8,"1024QAM",1,"")</f>
        <v>0.25</v>
      </c>
      <c r="F61" cm="1">
        <f t="array" ref="F61">_xlfn.SWITCH(D61,"QPSK",0.05,"16QAM",0.15,"64QAM",0.4,"256QAM",0.75,"1024QAM",1,"")</f>
        <v>0.15</v>
      </c>
      <c r="G61" t="s">
        <v>61</v>
      </c>
      <c r="H61">
        <v>1</v>
      </c>
      <c r="I61" t="s">
        <v>62</v>
      </c>
      <c r="J61">
        <v>2</v>
      </c>
      <c r="K61">
        <v>2</v>
      </c>
      <c r="L61" t="s">
        <v>63</v>
      </c>
      <c r="M61">
        <v>2</v>
      </c>
      <c r="N61">
        <v>0.47849999999999998</v>
      </c>
      <c r="O61">
        <v>0.48220000000000002</v>
      </c>
      <c r="P61">
        <v>5000</v>
      </c>
      <c r="Q61">
        <v>3683</v>
      </c>
      <c r="R61">
        <v>1317</v>
      </c>
      <c r="S61">
        <v>1.36</v>
      </c>
      <c r="T61">
        <v>35.76</v>
      </c>
      <c r="W61">
        <v>3683</v>
      </c>
      <c r="X61">
        <v>0</v>
      </c>
      <c r="Y61">
        <v>26.34</v>
      </c>
      <c r="Z61">
        <v>0</v>
      </c>
      <c r="AB61">
        <v>120360000</v>
      </c>
      <c r="AC61">
        <v>88657176</v>
      </c>
      <c r="AD61">
        <v>120360000</v>
      </c>
      <c r="AE61">
        <v>88657176</v>
      </c>
      <c r="AF61">
        <v>249600000</v>
      </c>
      <c r="AG61">
        <v>100</v>
      </c>
      <c r="AH61">
        <v>73.66</v>
      </c>
      <c r="AI61">
        <v>1</v>
      </c>
      <c r="AJ61">
        <v>1.3575889999999999</v>
      </c>
      <c r="AK61">
        <v>0.35520000000000002</v>
      </c>
      <c r="AL61">
        <v>17.73</v>
      </c>
      <c r="AM61">
        <v>17731</v>
      </c>
      <c r="AN61">
        <v>1.8944000000000001</v>
      </c>
      <c r="AO61">
        <v>30</v>
      </c>
      <c r="AP61">
        <v>21.87</v>
      </c>
      <c r="AQ61">
        <v>0.72</v>
      </c>
      <c r="AR61">
        <v>-5.93</v>
      </c>
      <c r="AS61">
        <v>1.97</v>
      </c>
      <c r="AT61">
        <v>22.46</v>
      </c>
      <c r="AU61">
        <v>6666.69</v>
      </c>
      <c r="AV61">
        <v>35.81</v>
      </c>
      <c r="AW61">
        <v>13.24</v>
      </c>
      <c r="AX61">
        <v>9.73</v>
      </c>
      <c r="AY61">
        <v>22.192722</v>
      </c>
      <c r="AZ61">
        <v>91.823319999999995</v>
      </c>
      <c r="BA61">
        <v>-13.183182</v>
      </c>
      <c r="BB61">
        <v>-1.26447</v>
      </c>
      <c r="BC61">
        <v>13.183182</v>
      </c>
      <c r="BD61">
        <v>34.034537999999998</v>
      </c>
      <c r="BE61">
        <v>177.98744400000001</v>
      </c>
      <c r="BF61">
        <v>-9.4245760000000001</v>
      </c>
      <c r="BG61">
        <v>4.8242120000000002</v>
      </c>
      <c r="BH61">
        <v>9.4245760000000001</v>
      </c>
    </row>
    <row r="62" spans="1:60" x14ac:dyDescent="0.25">
      <c r="A62" t="s">
        <v>180</v>
      </c>
      <c r="B62" t="s">
        <v>181</v>
      </c>
      <c r="C62">
        <v>12</v>
      </c>
      <c r="D62" t="s">
        <v>148</v>
      </c>
      <c r="E62" cm="1">
        <f t="array" ref="E62">_xlfn.SWITCH(D62,"QPSK",0.1,"16QAM",0.25,"64QAM",0.5,"256QAM",0.8,"1024QAM",1,"")</f>
        <v>0.25</v>
      </c>
      <c r="F62" cm="1">
        <f t="array" ref="F62">_xlfn.SWITCH(D62,"QPSK",0.05,"16QAM",0.15,"64QAM",0.4,"256QAM",0.75,"1024QAM",1,"")</f>
        <v>0.15</v>
      </c>
      <c r="G62" t="s">
        <v>61</v>
      </c>
      <c r="H62">
        <v>4</v>
      </c>
      <c r="I62" t="s">
        <v>62</v>
      </c>
      <c r="J62">
        <v>2</v>
      </c>
      <c r="K62">
        <v>2</v>
      </c>
      <c r="L62" t="s">
        <v>63</v>
      </c>
      <c r="M62">
        <v>2</v>
      </c>
      <c r="N62">
        <v>0.47849999999999998</v>
      </c>
      <c r="O62">
        <v>0.48220000000000002</v>
      </c>
      <c r="P62">
        <v>10000</v>
      </c>
      <c r="Q62">
        <v>7107</v>
      </c>
      <c r="R62">
        <v>2893</v>
      </c>
      <c r="S62">
        <v>1.41</v>
      </c>
      <c r="T62">
        <v>0.41</v>
      </c>
      <c r="W62">
        <v>7104</v>
      </c>
      <c r="X62">
        <v>0</v>
      </c>
      <c r="Y62">
        <v>28.96</v>
      </c>
      <c r="Z62">
        <v>0.04</v>
      </c>
      <c r="AB62">
        <v>240720000</v>
      </c>
      <c r="AC62">
        <v>171007488</v>
      </c>
      <c r="AD62">
        <v>240720000</v>
      </c>
      <c r="AE62">
        <v>171007488</v>
      </c>
      <c r="AG62">
        <v>99.96</v>
      </c>
      <c r="AH62">
        <v>71.040000000000006</v>
      </c>
      <c r="AI62">
        <v>1</v>
      </c>
      <c r="AJ62">
        <v>1.407063</v>
      </c>
      <c r="AK62">
        <v>0.34260000000000002</v>
      </c>
      <c r="AL62">
        <v>17.100000000000001</v>
      </c>
      <c r="AM62">
        <v>17101</v>
      </c>
      <c r="AN62">
        <v>1.827</v>
      </c>
      <c r="AO62">
        <v>30</v>
      </c>
      <c r="AP62">
        <v>21.87</v>
      </c>
      <c r="AQ62">
        <v>0.72</v>
      </c>
      <c r="AR62">
        <v>-6.07</v>
      </c>
      <c r="AS62">
        <v>1.96</v>
      </c>
      <c r="AT62">
        <v>22.31</v>
      </c>
      <c r="AU62">
        <v>6666.69</v>
      </c>
      <c r="AV62">
        <v>35.81</v>
      </c>
      <c r="AW62">
        <v>13.17</v>
      </c>
      <c r="AX62">
        <v>9.67</v>
      </c>
      <c r="AY62">
        <v>22.355685999999999</v>
      </c>
      <c r="AZ62">
        <v>91.411681000000002</v>
      </c>
      <c r="BA62">
        <v>-13.117872999999999</v>
      </c>
      <c r="BB62">
        <v>-1.3320160000000001</v>
      </c>
      <c r="BC62">
        <v>13.117872999999999</v>
      </c>
      <c r="BD62">
        <v>34.318207000000001</v>
      </c>
      <c r="BE62">
        <v>179.55739199999999</v>
      </c>
      <c r="BF62">
        <v>-9.3589009999999995</v>
      </c>
      <c r="BG62">
        <v>4.909116</v>
      </c>
      <c r="BH62">
        <v>9.3589009999999995</v>
      </c>
    </row>
    <row r="63" spans="1:60" x14ac:dyDescent="0.25">
      <c r="A63" t="s">
        <v>182</v>
      </c>
      <c r="B63" t="s">
        <v>183</v>
      </c>
      <c r="C63">
        <v>12</v>
      </c>
      <c r="D63" t="s">
        <v>148</v>
      </c>
      <c r="E63" cm="1">
        <f t="array" ref="E63">_xlfn.SWITCH(D63,"QPSK",0.1,"16QAM",0.25,"64QAM",0.5,"256QAM",0.8,"1024QAM",1,"")</f>
        <v>0.25</v>
      </c>
      <c r="F63" cm="1">
        <f t="array" ref="F63">_xlfn.SWITCH(D63,"QPSK",0.05,"16QAM",0.15,"64QAM",0.4,"256QAM",0.75,"1024QAM",1,"")</f>
        <v>0.15</v>
      </c>
      <c r="G63" t="s">
        <v>61</v>
      </c>
      <c r="H63">
        <v>4</v>
      </c>
      <c r="I63" t="s">
        <v>62</v>
      </c>
      <c r="J63">
        <v>2</v>
      </c>
      <c r="K63">
        <v>2</v>
      </c>
      <c r="L63" t="s">
        <v>63</v>
      </c>
      <c r="M63">
        <v>2</v>
      </c>
      <c r="N63">
        <v>0.47849999999999998</v>
      </c>
      <c r="O63">
        <v>0.48220000000000002</v>
      </c>
      <c r="P63">
        <v>5000</v>
      </c>
      <c r="Q63">
        <v>3646</v>
      </c>
      <c r="R63">
        <v>1354</v>
      </c>
      <c r="S63">
        <v>1.37</v>
      </c>
      <c r="T63">
        <v>37.14</v>
      </c>
      <c r="W63">
        <v>3646</v>
      </c>
      <c r="X63">
        <v>0</v>
      </c>
      <c r="Y63">
        <v>27.08</v>
      </c>
      <c r="Z63">
        <v>0</v>
      </c>
      <c r="AB63">
        <v>120360000</v>
      </c>
      <c r="AC63">
        <v>87766512</v>
      </c>
      <c r="AD63">
        <v>120360000</v>
      </c>
      <c r="AE63">
        <v>87766512</v>
      </c>
      <c r="AF63">
        <v>249600000</v>
      </c>
      <c r="AG63">
        <v>100</v>
      </c>
      <c r="AH63">
        <v>72.92</v>
      </c>
      <c r="AI63">
        <v>1</v>
      </c>
      <c r="AJ63">
        <v>1.3713660000000001</v>
      </c>
      <c r="AK63">
        <v>0.35160000000000002</v>
      </c>
      <c r="AL63">
        <v>17.55</v>
      </c>
      <c r="AM63">
        <v>17553</v>
      </c>
      <c r="AN63">
        <v>1.8754</v>
      </c>
      <c r="AO63">
        <v>30</v>
      </c>
      <c r="AP63">
        <v>21.87</v>
      </c>
      <c r="AQ63">
        <v>0.72</v>
      </c>
      <c r="AR63">
        <v>-5.93</v>
      </c>
      <c r="AS63">
        <v>1.98</v>
      </c>
      <c r="AT63">
        <v>22.27</v>
      </c>
      <c r="AU63">
        <v>6666.69</v>
      </c>
      <c r="AV63">
        <v>35.81</v>
      </c>
      <c r="AW63">
        <v>13.24</v>
      </c>
      <c r="AX63">
        <v>9.73</v>
      </c>
      <c r="AY63">
        <v>22.194938</v>
      </c>
      <c r="AZ63">
        <v>91.139433999999994</v>
      </c>
      <c r="BA63">
        <v>-13.181471999999999</v>
      </c>
      <c r="BB63">
        <v>-1.321742</v>
      </c>
      <c r="BC63">
        <v>13.181471999999999</v>
      </c>
      <c r="BD63">
        <v>34.048358</v>
      </c>
      <c r="BE63">
        <v>178.53452799999999</v>
      </c>
      <c r="BF63">
        <v>-9.4212980000000002</v>
      </c>
      <c r="BG63">
        <v>4.8553579999999998</v>
      </c>
      <c r="BH63">
        <v>9.4212980000000002</v>
      </c>
    </row>
    <row r="64" spans="1:60" x14ac:dyDescent="0.25">
      <c r="A64" t="s">
        <v>184</v>
      </c>
      <c r="B64" t="s">
        <v>185</v>
      </c>
      <c r="C64">
        <v>12</v>
      </c>
      <c r="D64" t="s">
        <v>148</v>
      </c>
      <c r="E64" cm="1">
        <f t="array" ref="E64">_xlfn.SWITCH(D64,"QPSK",0.1,"16QAM",0.25,"64QAM",0.5,"256QAM",0.8,"1024QAM",1,"")</f>
        <v>0.25</v>
      </c>
      <c r="F64" cm="1">
        <f t="array" ref="F64">_xlfn.SWITCH(D64,"QPSK",0.05,"16QAM",0.15,"64QAM",0.4,"256QAM",0.75,"1024QAM",1,"")</f>
        <v>0.15</v>
      </c>
      <c r="G64" t="s">
        <v>61</v>
      </c>
      <c r="H64">
        <v>8</v>
      </c>
      <c r="I64" t="s">
        <v>62</v>
      </c>
      <c r="J64">
        <v>2</v>
      </c>
      <c r="K64">
        <v>2</v>
      </c>
      <c r="L64" t="s">
        <v>63</v>
      </c>
      <c r="M64">
        <v>2</v>
      </c>
      <c r="N64">
        <v>0.47849999999999998</v>
      </c>
      <c r="O64">
        <v>0.48220000000000002</v>
      </c>
      <c r="P64">
        <v>10000</v>
      </c>
      <c r="Q64">
        <v>6965</v>
      </c>
      <c r="R64">
        <v>3035</v>
      </c>
      <c r="S64">
        <v>1.44</v>
      </c>
      <c r="T64">
        <v>0.44</v>
      </c>
      <c r="W64">
        <v>6958</v>
      </c>
      <c r="X64">
        <v>0</v>
      </c>
      <c r="Y64">
        <v>30.42</v>
      </c>
      <c r="Z64">
        <v>0.1</v>
      </c>
      <c r="AB64">
        <v>240720000</v>
      </c>
      <c r="AC64">
        <v>167492976</v>
      </c>
      <c r="AD64">
        <v>240720000</v>
      </c>
      <c r="AE64">
        <v>167492976</v>
      </c>
      <c r="AG64">
        <v>99.9</v>
      </c>
      <c r="AH64">
        <v>69.58</v>
      </c>
      <c r="AI64">
        <v>1</v>
      </c>
      <c r="AJ64">
        <v>1.4357500000000001</v>
      </c>
      <c r="AK64">
        <v>0.33550000000000002</v>
      </c>
      <c r="AL64">
        <v>16.75</v>
      </c>
      <c r="AM64">
        <v>16749</v>
      </c>
      <c r="AN64">
        <v>1.7895000000000001</v>
      </c>
      <c r="AO64">
        <v>30</v>
      </c>
      <c r="AP64">
        <v>21.87</v>
      </c>
      <c r="AQ64">
        <v>0.72</v>
      </c>
      <c r="AR64">
        <v>-6.07</v>
      </c>
      <c r="AS64">
        <v>1.96</v>
      </c>
      <c r="AT64">
        <v>22.7</v>
      </c>
      <c r="AU64">
        <v>6666.69</v>
      </c>
      <c r="AV64">
        <v>35.81</v>
      </c>
      <c r="AW64">
        <v>13.18</v>
      </c>
      <c r="AX64">
        <v>9.67</v>
      </c>
      <c r="AY64">
        <v>22.352442</v>
      </c>
      <c r="AZ64">
        <v>91.615972999999997</v>
      </c>
      <c r="BA64">
        <v>-13.119028999999999</v>
      </c>
      <c r="BB64">
        <v>-1.3172710000000001</v>
      </c>
      <c r="BC64">
        <v>13.119028999999999</v>
      </c>
      <c r="BD64">
        <v>34.313583000000001</v>
      </c>
      <c r="BE64">
        <v>179.614778</v>
      </c>
      <c r="BF64">
        <v>-9.3603959999999997</v>
      </c>
      <c r="BG64">
        <v>4.9115029999999997</v>
      </c>
      <c r="BH64">
        <v>9.3603959999999997</v>
      </c>
    </row>
    <row r="65" spans="1:60" x14ac:dyDescent="0.25">
      <c r="A65" t="s">
        <v>186</v>
      </c>
      <c r="B65" t="s">
        <v>187</v>
      </c>
      <c r="C65">
        <v>14</v>
      </c>
      <c r="D65" t="s">
        <v>148</v>
      </c>
      <c r="E65" cm="1">
        <f t="array" ref="E65">_xlfn.SWITCH(D65,"QPSK",0.1,"16QAM",0.25,"64QAM",0.5,"256QAM",0.8,"1024QAM",1,"")</f>
        <v>0.25</v>
      </c>
      <c r="F65" cm="1">
        <f t="array" ref="F65">_xlfn.SWITCH(D65,"QPSK",0.05,"16QAM",0.15,"64QAM",0.4,"256QAM",0.75,"1024QAM",1,"")</f>
        <v>0.15</v>
      </c>
      <c r="G65" t="s">
        <v>61</v>
      </c>
      <c r="H65">
        <v>16</v>
      </c>
      <c r="I65" t="s">
        <v>62</v>
      </c>
      <c r="J65">
        <v>2</v>
      </c>
      <c r="K65">
        <v>2</v>
      </c>
      <c r="L65" t="s">
        <v>63</v>
      </c>
      <c r="M65">
        <v>2</v>
      </c>
      <c r="N65">
        <v>0.47849999999999998</v>
      </c>
      <c r="O65">
        <v>0.48220000000000002</v>
      </c>
      <c r="P65">
        <v>5000</v>
      </c>
      <c r="Q65">
        <v>4191</v>
      </c>
      <c r="R65">
        <v>809</v>
      </c>
      <c r="S65">
        <v>1.19</v>
      </c>
      <c r="T65">
        <v>19.3</v>
      </c>
      <c r="W65">
        <v>4191</v>
      </c>
      <c r="X65">
        <v>0</v>
      </c>
      <c r="Y65">
        <v>16.18</v>
      </c>
      <c r="Z65">
        <v>0</v>
      </c>
      <c r="AB65">
        <v>120360000</v>
      </c>
      <c r="AC65">
        <v>100885752</v>
      </c>
      <c r="AD65">
        <v>120360000</v>
      </c>
      <c r="AE65">
        <v>100885752</v>
      </c>
      <c r="AF65">
        <v>249600000</v>
      </c>
      <c r="AG65">
        <v>100</v>
      </c>
      <c r="AH65">
        <v>83.82</v>
      </c>
      <c r="AI65">
        <v>1</v>
      </c>
      <c r="AJ65">
        <v>1.193033</v>
      </c>
      <c r="AK65">
        <v>0.4042</v>
      </c>
      <c r="AL65">
        <v>20.18</v>
      </c>
      <c r="AM65">
        <v>20177</v>
      </c>
      <c r="AN65">
        <v>2.1556999999999999</v>
      </c>
      <c r="AO65">
        <v>30</v>
      </c>
      <c r="AP65">
        <v>21.87</v>
      </c>
      <c r="AQ65">
        <v>0.72</v>
      </c>
      <c r="AR65">
        <v>-5.94</v>
      </c>
      <c r="AS65">
        <v>1.96</v>
      </c>
      <c r="AT65">
        <v>22.7</v>
      </c>
      <c r="AU65">
        <v>6666.69</v>
      </c>
      <c r="AV65">
        <v>35.81</v>
      </c>
      <c r="AW65">
        <v>14.3</v>
      </c>
      <c r="AX65">
        <v>10.210000000000001</v>
      </c>
      <c r="AY65">
        <v>19.691331999999999</v>
      </c>
      <c r="AZ65">
        <v>85.472759999999994</v>
      </c>
      <c r="BA65">
        <v>-14.257906</v>
      </c>
      <c r="BB65">
        <v>-1.8868940000000001</v>
      </c>
      <c r="BC65">
        <v>14.257906</v>
      </c>
      <c r="BD65">
        <v>32.173144000000001</v>
      </c>
      <c r="BE65">
        <v>173.19341600000001</v>
      </c>
      <c r="BF65">
        <v>-9.9283680000000007</v>
      </c>
      <c r="BG65">
        <v>4.5920040000000002</v>
      </c>
      <c r="BH65">
        <v>9.9283680000000007</v>
      </c>
    </row>
    <row r="66" spans="1:60" x14ac:dyDescent="0.25">
      <c r="A66" t="s">
        <v>188</v>
      </c>
      <c r="B66" t="s">
        <v>189</v>
      </c>
      <c r="C66">
        <v>14</v>
      </c>
      <c r="D66" t="s">
        <v>148</v>
      </c>
      <c r="E66" cm="1">
        <f t="array" ref="E66">_xlfn.SWITCH(D66,"QPSK",0.1,"16QAM",0.25,"64QAM",0.5,"256QAM",0.8,"1024QAM",1,"")</f>
        <v>0.25</v>
      </c>
      <c r="F66" cm="1">
        <f t="array" ref="F66">_xlfn.SWITCH(D66,"QPSK",0.05,"16QAM",0.15,"64QAM",0.4,"256QAM",0.75,"1024QAM",1,"")</f>
        <v>0.15</v>
      </c>
      <c r="G66" t="s">
        <v>61</v>
      </c>
      <c r="H66">
        <v>1</v>
      </c>
      <c r="I66" t="s">
        <v>62</v>
      </c>
      <c r="J66">
        <v>2</v>
      </c>
      <c r="K66">
        <v>2</v>
      </c>
      <c r="L66" t="s">
        <v>63</v>
      </c>
      <c r="M66">
        <v>2</v>
      </c>
      <c r="N66">
        <v>0.47849999999999998</v>
      </c>
      <c r="O66">
        <v>0.48220000000000002</v>
      </c>
      <c r="P66">
        <v>10000</v>
      </c>
      <c r="Q66">
        <v>8499</v>
      </c>
      <c r="R66">
        <v>1501</v>
      </c>
      <c r="S66">
        <v>1.18</v>
      </c>
      <c r="T66">
        <v>0.18</v>
      </c>
      <c r="W66">
        <v>8499</v>
      </c>
      <c r="X66">
        <v>0</v>
      </c>
      <c r="Y66">
        <v>15.01</v>
      </c>
      <c r="Z66">
        <v>0</v>
      </c>
      <c r="AB66">
        <v>240720000</v>
      </c>
      <c r="AC66">
        <v>204587928</v>
      </c>
      <c r="AD66">
        <v>240720000</v>
      </c>
      <c r="AE66">
        <v>204587928</v>
      </c>
      <c r="AG66">
        <v>100</v>
      </c>
      <c r="AH66">
        <v>84.99</v>
      </c>
      <c r="AI66">
        <v>1</v>
      </c>
      <c r="AJ66">
        <v>1.176609</v>
      </c>
      <c r="AK66">
        <v>0.4098</v>
      </c>
      <c r="AL66">
        <v>20.46</v>
      </c>
      <c r="AM66">
        <v>20459</v>
      </c>
      <c r="AN66">
        <v>2.1858</v>
      </c>
      <c r="AO66">
        <v>30</v>
      </c>
      <c r="AP66">
        <v>21.87</v>
      </c>
      <c r="AQ66">
        <v>0.72</v>
      </c>
      <c r="AR66">
        <v>-6.08</v>
      </c>
      <c r="AS66">
        <v>1.95</v>
      </c>
      <c r="AT66">
        <v>22.99</v>
      </c>
      <c r="AU66">
        <v>6666.69</v>
      </c>
      <c r="AV66">
        <v>35.81</v>
      </c>
      <c r="AW66">
        <v>14.23</v>
      </c>
      <c r="AX66">
        <v>10.17</v>
      </c>
      <c r="AY66">
        <v>19.841435000000001</v>
      </c>
      <c r="AZ66">
        <v>85.347165000000004</v>
      </c>
      <c r="BA66">
        <v>-14.191442</v>
      </c>
      <c r="BB66">
        <v>-1.9335230000000001</v>
      </c>
      <c r="BC66">
        <v>14.191442</v>
      </c>
      <c r="BD66">
        <v>32.400733000000002</v>
      </c>
      <c r="BE66">
        <v>173.681028</v>
      </c>
      <c r="BF66">
        <v>-9.8732129999999998</v>
      </c>
      <c r="BG66">
        <v>4.6208710000000002</v>
      </c>
      <c r="BH66">
        <v>9.8732129999999998</v>
      </c>
    </row>
    <row r="67" spans="1:60" x14ac:dyDescent="0.25">
      <c r="A67" t="s">
        <v>190</v>
      </c>
      <c r="B67" t="s">
        <v>152</v>
      </c>
      <c r="C67">
        <v>14</v>
      </c>
      <c r="D67" t="s">
        <v>148</v>
      </c>
      <c r="E67" cm="1">
        <f t="array" ref="E67">_xlfn.SWITCH(D67,"QPSK",0.1,"16QAM",0.25,"64QAM",0.5,"256QAM",0.8,"1024QAM",1,"")</f>
        <v>0.25</v>
      </c>
      <c r="F67" cm="1">
        <f t="array" ref="F67">_xlfn.SWITCH(D67,"QPSK",0.05,"16QAM",0.15,"64QAM",0.4,"256QAM",0.75,"1024QAM",1,"")</f>
        <v>0.15</v>
      </c>
      <c r="G67" t="s">
        <v>61</v>
      </c>
      <c r="H67">
        <v>1</v>
      </c>
      <c r="I67" t="s">
        <v>62</v>
      </c>
      <c r="J67">
        <v>2</v>
      </c>
      <c r="K67">
        <v>2</v>
      </c>
      <c r="L67" t="s">
        <v>63</v>
      </c>
      <c r="M67">
        <v>2</v>
      </c>
      <c r="N67">
        <v>0.47849999999999998</v>
      </c>
      <c r="O67">
        <v>0.48220000000000002</v>
      </c>
      <c r="P67">
        <v>5000</v>
      </c>
      <c r="Q67">
        <v>4320</v>
      </c>
      <c r="R67">
        <v>680</v>
      </c>
      <c r="S67">
        <v>1.1599999999999999</v>
      </c>
      <c r="T67">
        <v>15.74</v>
      </c>
      <c r="W67">
        <v>4320</v>
      </c>
      <c r="X67">
        <v>0</v>
      </c>
      <c r="Y67">
        <v>13.6</v>
      </c>
      <c r="Z67">
        <v>0</v>
      </c>
      <c r="AB67">
        <v>120360000</v>
      </c>
      <c r="AC67">
        <v>103991040</v>
      </c>
      <c r="AD67">
        <v>120360000</v>
      </c>
      <c r="AE67">
        <v>103991040</v>
      </c>
      <c r="AF67">
        <v>249600000</v>
      </c>
      <c r="AG67">
        <v>100</v>
      </c>
      <c r="AH67">
        <v>86.4</v>
      </c>
      <c r="AI67">
        <v>1</v>
      </c>
      <c r="AJ67">
        <v>1.1574070000000001</v>
      </c>
      <c r="AK67">
        <v>0.41660000000000003</v>
      </c>
      <c r="AL67">
        <v>20.8</v>
      </c>
      <c r="AM67">
        <v>20798</v>
      </c>
      <c r="AN67">
        <v>2.222</v>
      </c>
      <c r="AO67">
        <v>30</v>
      </c>
      <c r="AP67">
        <v>21.87</v>
      </c>
      <c r="AQ67">
        <v>0.72</v>
      </c>
      <c r="AR67">
        <v>-5.94</v>
      </c>
      <c r="AS67">
        <v>1.96</v>
      </c>
      <c r="AT67">
        <v>22.2</v>
      </c>
      <c r="AU67">
        <v>6666.69</v>
      </c>
      <c r="AV67">
        <v>35.81</v>
      </c>
      <c r="AW67">
        <v>14.29</v>
      </c>
      <c r="AX67">
        <v>10.210000000000001</v>
      </c>
      <c r="AY67">
        <v>19.708221999999999</v>
      </c>
      <c r="AZ67">
        <v>85.828059999999994</v>
      </c>
      <c r="BA67">
        <v>-14.250057999999999</v>
      </c>
      <c r="BB67">
        <v>-1.855944</v>
      </c>
      <c r="BC67">
        <v>14.250057999999999</v>
      </c>
      <c r="BD67">
        <v>32.187252000000001</v>
      </c>
      <c r="BE67">
        <v>173.588246</v>
      </c>
      <c r="BF67">
        <v>-9.9250319999999999</v>
      </c>
      <c r="BG67">
        <v>4.6010660000000003</v>
      </c>
      <c r="BH67">
        <v>9.9250319999999999</v>
      </c>
    </row>
    <row r="68" spans="1:60" x14ac:dyDescent="0.25">
      <c r="A68" t="s">
        <v>191</v>
      </c>
      <c r="B68" t="s">
        <v>192</v>
      </c>
      <c r="C68">
        <v>14</v>
      </c>
      <c r="D68" t="s">
        <v>148</v>
      </c>
      <c r="E68" cm="1">
        <f t="array" ref="E68">_xlfn.SWITCH(D68,"QPSK",0.1,"16QAM",0.25,"64QAM",0.5,"256QAM",0.8,"1024QAM",1,"")</f>
        <v>0.25</v>
      </c>
      <c r="F68" cm="1">
        <f t="array" ref="F68">_xlfn.SWITCH(D68,"QPSK",0.05,"16QAM",0.15,"64QAM",0.4,"256QAM",0.75,"1024QAM",1,"")</f>
        <v>0.15</v>
      </c>
      <c r="G68" t="s">
        <v>61</v>
      </c>
      <c r="H68">
        <v>4</v>
      </c>
      <c r="I68" t="s">
        <v>62</v>
      </c>
      <c r="J68">
        <v>2</v>
      </c>
      <c r="K68">
        <v>2</v>
      </c>
      <c r="L68" t="s">
        <v>63</v>
      </c>
      <c r="M68">
        <v>2</v>
      </c>
      <c r="N68">
        <v>0.47849999999999998</v>
      </c>
      <c r="O68">
        <v>0.48220000000000002</v>
      </c>
      <c r="P68">
        <v>10000</v>
      </c>
      <c r="Q68">
        <v>8404</v>
      </c>
      <c r="R68">
        <v>1596</v>
      </c>
      <c r="S68">
        <v>1.19</v>
      </c>
      <c r="T68">
        <v>0.19</v>
      </c>
      <c r="W68">
        <v>8401</v>
      </c>
      <c r="X68">
        <v>0</v>
      </c>
      <c r="Y68">
        <v>15.99</v>
      </c>
      <c r="Z68">
        <v>0.04</v>
      </c>
      <c r="AB68">
        <v>240720000</v>
      </c>
      <c r="AC68">
        <v>202228872</v>
      </c>
      <c r="AD68">
        <v>240720000</v>
      </c>
      <c r="AE68">
        <v>202228872</v>
      </c>
      <c r="AG68">
        <v>99.96</v>
      </c>
      <c r="AH68">
        <v>84.01</v>
      </c>
      <c r="AI68">
        <v>1</v>
      </c>
      <c r="AJ68">
        <v>1.18991</v>
      </c>
      <c r="AK68">
        <v>0.40510000000000002</v>
      </c>
      <c r="AL68">
        <v>20.22</v>
      </c>
      <c r="AM68">
        <v>20223</v>
      </c>
      <c r="AN68">
        <v>2.1606000000000001</v>
      </c>
      <c r="AO68">
        <v>30</v>
      </c>
      <c r="AP68">
        <v>21.87</v>
      </c>
      <c r="AQ68">
        <v>0.72</v>
      </c>
      <c r="AR68">
        <v>-6.08</v>
      </c>
      <c r="AS68">
        <v>1.95</v>
      </c>
      <c r="AT68">
        <v>23.06</v>
      </c>
      <c r="AU68">
        <v>6666.69</v>
      </c>
      <c r="AV68">
        <v>35.81</v>
      </c>
      <c r="AW68">
        <v>14.23</v>
      </c>
      <c r="AX68">
        <v>10.17</v>
      </c>
      <c r="AY68">
        <v>19.842841</v>
      </c>
      <c r="AZ68">
        <v>85.295400000000001</v>
      </c>
      <c r="BA68">
        <v>-14.190616</v>
      </c>
      <c r="BB68">
        <v>-1.942742</v>
      </c>
      <c r="BC68">
        <v>14.190616</v>
      </c>
      <c r="BD68">
        <v>32.402231</v>
      </c>
      <c r="BE68">
        <v>173.639049</v>
      </c>
      <c r="BF68">
        <v>-9.8726900000000004</v>
      </c>
      <c r="BG68">
        <v>4.6195349999999999</v>
      </c>
      <c r="BH68">
        <v>9.8726900000000004</v>
      </c>
    </row>
    <row r="69" spans="1:60" x14ac:dyDescent="0.25">
      <c r="A69" t="s">
        <v>193</v>
      </c>
      <c r="B69" t="s">
        <v>194</v>
      </c>
      <c r="C69">
        <v>14</v>
      </c>
      <c r="D69" t="s">
        <v>148</v>
      </c>
      <c r="E69" cm="1">
        <f t="array" ref="E69">_xlfn.SWITCH(D69,"QPSK",0.1,"16QAM",0.25,"64QAM",0.5,"256QAM",0.8,"1024QAM",1,"")</f>
        <v>0.25</v>
      </c>
      <c r="F69" cm="1">
        <f t="array" ref="F69">_xlfn.SWITCH(D69,"QPSK",0.05,"16QAM",0.15,"64QAM",0.4,"256QAM",0.75,"1024QAM",1,"")</f>
        <v>0.15</v>
      </c>
      <c r="G69" t="s">
        <v>61</v>
      </c>
      <c r="H69">
        <v>4</v>
      </c>
      <c r="I69" t="s">
        <v>62</v>
      </c>
      <c r="J69">
        <v>2</v>
      </c>
      <c r="K69">
        <v>2</v>
      </c>
      <c r="L69" t="s">
        <v>63</v>
      </c>
      <c r="M69">
        <v>2</v>
      </c>
      <c r="N69">
        <v>0.47849999999999998</v>
      </c>
      <c r="O69">
        <v>0.48220000000000002</v>
      </c>
      <c r="P69">
        <v>5000</v>
      </c>
      <c r="Q69">
        <v>4283</v>
      </c>
      <c r="R69">
        <v>717</v>
      </c>
      <c r="S69">
        <v>1.17</v>
      </c>
      <c r="T69">
        <v>16.739999999999998</v>
      </c>
      <c r="W69">
        <v>4283</v>
      </c>
      <c r="X69">
        <v>0</v>
      </c>
      <c r="Y69">
        <v>14.34</v>
      </c>
      <c r="Z69">
        <v>0</v>
      </c>
      <c r="AB69">
        <v>120360000</v>
      </c>
      <c r="AC69">
        <v>103100376</v>
      </c>
      <c r="AD69">
        <v>120360000</v>
      </c>
      <c r="AE69">
        <v>103100376</v>
      </c>
      <c r="AF69">
        <v>249600000</v>
      </c>
      <c r="AG69">
        <v>100</v>
      </c>
      <c r="AH69">
        <v>85.66</v>
      </c>
      <c r="AI69">
        <v>1</v>
      </c>
      <c r="AJ69">
        <v>1.1674059999999999</v>
      </c>
      <c r="AK69">
        <v>0.41310000000000002</v>
      </c>
      <c r="AL69">
        <v>20.62</v>
      </c>
      <c r="AM69">
        <v>20620</v>
      </c>
      <c r="AN69">
        <v>2.2029999999999998</v>
      </c>
      <c r="AO69">
        <v>30</v>
      </c>
      <c r="AP69">
        <v>21.87</v>
      </c>
      <c r="AQ69">
        <v>0.72</v>
      </c>
      <c r="AR69">
        <v>-5.94</v>
      </c>
      <c r="AS69">
        <v>1.96</v>
      </c>
      <c r="AT69">
        <v>22.59</v>
      </c>
      <c r="AU69">
        <v>6666.69</v>
      </c>
      <c r="AV69">
        <v>35.81</v>
      </c>
      <c r="AW69">
        <v>14.29</v>
      </c>
      <c r="AX69">
        <v>10.210000000000001</v>
      </c>
      <c r="AY69">
        <v>19.700620000000001</v>
      </c>
      <c r="AZ69">
        <v>85.539435999999995</v>
      </c>
      <c r="BA69">
        <v>-14.254052</v>
      </c>
      <c r="BB69">
        <v>-1.8872979999999999</v>
      </c>
      <c r="BC69">
        <v>14.254052</v>
      </c>
      <c r="BD69">
        <v>32.182324000000001</v>
      </c>
      <c r="BE69">
        <v>173.62529000000001</v>
      </c>
      <c r="BF69">
        <v>-9.9259260000000005</v>
      </c>
      <c r="BG69">
        <v>4.6075999999999997</v>
      </c>
      <c r="BH69">
        <v>9.9259260000000005</v>
      </c>
    </row>
    <row r="70" spans="1:60" x14ac:dyDescent="0.25">
      <c r="A70" t="s">
        <v>195</v>
      </c>
      <c r="B70" t="s">
        <v>196</v>
      </c>
      <c r="C70">
        <v>14</v>
      </c>
      <c r="D70" t="s">
        <v>148</v>
      </c>
      <c r="E70" cm="1">
        <f t="array" ref="E70">_xlfn.SWITCH(D70,"QPSK",0.1,"16QAM",0.25,"64QAM",0.5,"256QAM",0.8,"1024QAM",1,"")</f>
        <v>0.25</v>
      </c>
      <c r="F70" cm="1">
        <f t="array" ref="F70">_xlfn.SWITCH(D70,"QPSK",0.05,"16QAM",0.15,"64QAM",0.4,"256QAM",0.75,"1024QAM",1,"")</f>
        <v>0.15</v>
      </c>
      <c r="G70" t="s">
        <v>61</v>
      </c>
      <c r="H70">
        <v>8</v>
      </c>
      <c r="I70" t="s">
        <v>62</v>
      </c>
      <c r="J70">
        <v>2</v>
      </c>
      <c r="K70">
        <v>2</v>
      </c>
      <c r="L70" t="s">
        <v>63</v>
      </c>
      <c r="M70">
        <v>2</v>
      </c>
      <c r="N70">
        <v>0.47849999999999998</v>
      </c>
      <c r="O70">
        <v>0.48220000000000002</v>
      </c>
      <c r="P70">
        <v>10000</v>
      </c>
      <c r="Q70">
        <v>8330</v>
      </c>
      <c r="R70">
        <v>1670</v>
      </c>
      <c r="S70">
        <v>1.2</v>
      </c>
      <c r="T70">
        <v>0.2</v>
      </c>
      <c r="W70">
        <v>8328</v>
      </c>
      <c r="X70">
        <v>0</v>
      </c>
      <c r="Y70">
        <v>16.72</v>
      </c>
      <c r="Z70">
        <v>0.02</v>
      </c>
      <c r="AB70">
        <v>240720000</v>
      </c>
      <c r="AC70">
        <v>200471616</v>
      </c>
      <c r="AD70">
        <v>240720000</v>
      </c>
      <c r="AE70">
        <v>200471616</v>
      </c>
      <c r="AG70">
        <v>99.98</v>
      </c>
      <c r="AH70">
        <v>83.28</v>
      </c>
      <c r="AI70">
        <v>1</v>
      </c>
      <c r="AJ70">
        <v>1.20048</v>
      </c>
      <c r="AK70">
        <v>0.40160000000000001</v>
      </c>
      <c r="AL70">
        <v>20.05</v>
      </c>
      <c r="AM70">
        <v>20047</v>
      </c>
      <c r="AN70">
        <v>2.1417999999999999</v>
      </c>
      <c r="AO70">
        <v>30</v>
      </c>
      <c r="AP70">
        <v>21.87</v>
      </c>
      <c r="AQ70">
        <v>0.72</v>
      </c>
      <c r="AR70">
        <v>-6.08</v>
      </c>
      <c r="AS70">
        <v>1.95</v>
      </c>
      <c r="AT70">
        <v>22.77</v>
      </c>
      <c r="AU70">
        <v>6666.69</v>
      </c>
      <c r="AV70">
        <v>35.81</v>
      </c>
      <c r="AW70">
        <v>14.23</v>
      </c>
      <c r="AX70">
        <v>10.17</v>
      </c>
      <c r="AY70">
        <v>19.839739000000002</v>
      </c>
      <c r="AZ70">
        <v>85.211207000000002</v>
      </c>
      <c r="BA70">
        <v>-14.191625</v>
      </c>
      <c r="BB70">
        <v>-1.9458120000000001</v>
      </c>
      <c r="BC70">
        <v>14.191625</v>
      </c>
      <c r="BD70">
        <v>32.404516999999998</v>
      </c>
      <c r="BE70">
        <v>173.58792600000001</v>
      </c>
      <c r="BF70">
        <v>-9.8722709999999996</v>
      </c>
      <c r="BG70">
        <v>4.6148939999999996</v>
      </c>
      <c r="BH70">
        <v>9.8722709999999996</v>
      </c>
    </row>
    <row r="71" spans="1:60" x14ac:dyDescent="0.25">
      <c r="A71" t="s">
        <v>197</v>
      </c>
      <c r="B71" t="s">
        <v>198</v>
      </c>
      <c r="C71">
        <v>16</v>
      </c>
      <c r="D71" t="s">
        <v>148</v>
      </c>
      <c r="E71" cm="1">
        <f t="array" ref="E71">_xlfn.SWITCH(D71,"QPSK",0.1,"16QAM",0.25,"64QAM",0.5,"256QAM",0.8,"1024QAM",1,"")</f>
        <v>0.25</v>
      </c>
      <c r="F71" cm="1">
        <f t="array" ref="F71">_xlfn.SWITCH(D71,"QPSK",0.05,"16QAM",0.15,"64QAM",0.4,"256QAM",0.75,"1024QAM",1,"")</f>
        <v>0.15</v>
      </c>
      <c r="G71" t="s">
        <v>61</v>
      </c>
      <c r="H71">
        <v>16</v>
      </c>
      <c r="I71" t="s">
        <v>62</v>
      </c>
      <c r="J71">
        <v>2</v>
      </c>
      <c r="K71">
        <v>2</v>
      </c>
      <c r="L71" t="s">
        <v>63</v>
      </c>
      <c r="M71">
        <v>2</v>
      </c>
      <c r="N71">
        <v>0.47849999999999998</v>
      </c>
      <c r="O71">
        <v>0.48220000000000002</v>
      </c>
      <c r="P71">
        <v>5000</v>
      </c>
      <c r="Q71">
        <v>4572</v>
      </c>
      <c r="R71">
        <v>428</v>
      </c>
      <c r="S71">
        <v>1.0900000000000001</v>
      </c>
      <c r="T71">
        <v>9.36</v>
      </c>
      <c r="W71">
        <v>4572</v>
      </c>
      <c r="X71">
        <v>0</v>
      </c>
      <c r="Y71">
        <v>8.56</v>
      </c>
      <c r="Z71">
        <v>0</v>
      </c>
      <c r="AB71">
        <v>120360000</v>
      </c>
      <c r="AC71">
        <v>110057184</v>
      </c>
      <c r="AD71">
        <v>120360000</v>
      </c>
      <c r="AE71">
        <v>110057184</v>
      </c>
      <c r="AF71">
        <v>249600000</v>
      </c>
      <c r="AG71">
        <v>100</v>
      </c>
      <c r="AH71">
        <v>91.44</v>
      </c>
      <c r="AI71">
        <v>1</v>
      </c>
      <c r="AJ71">
        <v>1.0936129999999999</v>
      </c>
      <c r="AK71">
        <v>0.44090000000000001</v>
      </c>
      <c r="AL71">
        <v>22.01</v>
      </c>
      <c r="AM71">
        <v>22011</v>
      </c>
      <c r="AN71">
        <v>2.3515999999999999</v>
      </c>
      <c r="AO71">
        <v>30</v>
      </c>
      <c r="AP71">
        <v>21.87</v>
      </c>
      <c r="AQ71">
        <v>0.72</v>
      </c>
      <c r="AR71">
        <v>-5.95</v>
      </c>
      <c r="AS71">
        <v>1.95</v>
      </c>
      <c r="AT71">
        <v>22.97</v>
      </c>
      <c r="AU71">
        <v>6666.69</v>
      </c>
      <c r="AV71">
        <v>35.81</v>
      </c>
      <c r="AW71">
        <v>15.5</v>
      </c>
      <c r="AX71">
        <v>10.78</v>
      </c>
      <c r="AY71">
        <v>17.213258</v>
      </c>
      <c r="AZ71">
        <v>78.541874000000007</v>
      </c>
      <c r="BA71">
        <v>-15.474918000000001</v>
      </c>
      <c r="BB71">
        <v>-2.606776</v>
      </c>
      <c r="BC71">
        <v>15.474918000000001</v>
      </c>
      <c r="BD71">
        <v>30.106938</v>
      </c>
      <c r="BE71">
        <v>168.52001000000001</v>
      </c>
      <c r="BF71">
        <v>-10.539262000000001</v>
      </c>
      <c r="BG71">
        <v>4.3008800000000003</v>
      </c>
      <c r="BH71">
        <v>10.539262000000001</v>
      </c>
    </row>
    <row r="72" spans="1:60" x14ac:dyDescent="0.25">
      <c r="A72" t="s">
        <v>199</v>
      </c>
      <c r="B72" t="s">
        <v>200</v>
      </c>
      <c r="C72">
        <v>16</v>
      </c>
      <c r="D72" t="s">
        <v>148</v>
      </c>
      <c r="E72" cm="1">
        <f t="array" ref="E72">_xlfn.SWITCH(D72,"QPSK",0.1,"16QAM",0.25,"64QAM",0.5,"256QAM",0.8,"1024QAM",1,"")</f>
        <v>0.25</v>
      </c>
      <c r="F72" cm="1">
        <f t="array" ref="F72">_xlfn.SWITCH(D72,"QPSK",0.05,"16QAM",0.15,"64QAM",0.4,"256QAM",0.75,"1024QAM",1,"")</f>
        <v>0.15</v>
      </c>
      <c r="G72" t="s">
        <v>61</v>
      </c>
      <c r="H72">
        <v>1</v>
      </c>
      <c r="I72" t="s">
        <v>62</v>
      </c>
      <c r="J72">
        <v>2</v>
      </c>
      <c r="K72">
        <v>2</v>
      </c>
      <c r="L72" t="s">
        <v>63</v>
      </c>
      <c r="M72">
        <v>2</v>
      </c>
      <c r="N72">
        <v>0.47849999999999998</v>
      </c>
      <c r="O72">
        <v>0.48220000000000002</v>
      </c>
      <c r="P72">
        <v>10000</v>
      </c>
      <c r="Q72">
        <v>9304</v>
      </c>
      <c r="R72">
        <v>696</v>
      </c>
      <c r="S72">
        <v>1.07</v>
      </c>
      <c r="T72">
        <v>7.0000000000000007E-2</v>
      </c>
      <c r="W72">
        <v>9303</v>
      </c>
      <c r="X72">
        <v>0</v>
      </c>
      <c r="Y72">
        <v>6.97</v>
      </c>
      <c r="Z72">
        <v>0.01</v>
      </c>
      <c r="AB72">
        <v>240720000</v>
      </c>
      <c r="AC72">
        <v>223941816</v>
      </c>
      <c r="AD72">
        <v>240720000</v>
      </c>
      <c r="AE72">
        <v>223941816</v>
      </c>
      <c r="AG72">
        <v>99.99</v>
      </c>
      <c r="AH72">
        <v>93.03</v>
      </c>
      <c r="AI72">
        <v>1</v>
      </c>
      <c r="AJ72">
        <v>1.0748070000000001</v>
      </c>
      <c r="AK72">
        <v>0.4486</v>
      </c>
      <c r="AL72">
        <v>22.39</v>
      </c>
      <c r="AM72">
        <v>22394</v>
      </c>
      <c r="AN72">
        <v>2.3925000000000001</v>
      </c>
      <c r="AO72">
        <v>30</v>
      </c>
      <c r="AP72">
        <v>21.87</v>
      </c>
      <c r="AQ72">
        <v>0.72</v>
      </c>
      <c r="AR72">
        <v>-6.09</v>
      </c>
      <c r="AS72">
        <v>1.94</v>
      </c>
      <c r="AT72">
        <v>23.21</v>
      </c>
      <c r="AU72">
        <v>6666.69</v>
      </c>
      <c r="AV72">
        <v>35.81</v>
      </c>
      <c r="AW72">
        <v>15.44</v>
      </c>
      <c r="AX72">
        <v>10.75</v>
      </c>
      <c r="AY72">
        <v>17.329017</v>
      </c>
      <c r="AZ72">
        <v>77.682081999999994</v>
      </c>
      <c r="BA72">
        <v>-15.414209</v>
      </c>
      <c r="BB72">
        <v>-2.721733</v>
      </c>
      <c r="BC72">
        <v>15.414209</v>
      </c>
      <c r="BD72">
        <v>30.291951999999998</v>
      </c>
      <c r="BE72">
        <v>167.49660499999999</v>
      </c>
      <c r="BF72">
        <v>-10.492597</v>
      </c>
      <c r="BG72">
        <v>4.2599330000000002</v>
      </c>
      <c r="BH72">
        <v>10.492597</v>
      </c>
    </row>
    <row r="73" spans="1:60" x14ac:dyDescent="0.25">
      <c r="A73" t="s">
        <v>201</v>
      </c>
      <c r="B73" t="s">
        <v>152</v>
      </c>
      <c r="C73">
        <v>16</v>
      </c>
      <c r="D73" t="s">
        <v>148</v>
      </c>
      <c r="E73" cm="1">
        <f t="array" ref="E73">_xlfn.SWITCH(D73,"QPSK",0.1,"16QAM",0.25,"64QAM",0.5,"256QAM",0.8,"1024QAM",1,"")</f>
        <v>0.25</v>
      </c>
      <c r="F73" cm="1">
        <f t="array" ref="F73">_xlfn.SWITCH(D73,"QPSK",0.05,"16QAM",0.15,"64QAM",0.4,"256QAM",0.75,"1024QAM",1,"")</f>
        <v>0.15</v>
      </c>
      <c r="G73" t="s">
        <v>61</v>
      </c>
      <c r="H73">
        <v>1</v>
      </c>
      <c r="I73" t="s">
        <v>62</v>
      </c>
      <c r="J73">
        <v>2</v>
      </c>
      <c r="K73">
        <v>2</v>
      </c>
      <c r="L73" t="s">
        <v>63</v>
      </c>
      <c r="M73">
        <v>2</v>
      </c>
      <c r="N73">
        <v>0.47849999999999998</v>
      </c>
      <c r="O73">
        <v>0.48220000000000002</v>
      </c>
      <c r="P73">
        <v>5000</v>
      </c>
      <c r="Q73">
        <v>4660</v>
      </c>
      <c r="R73">
        <v>340</v>
      </c>
      <c r="S73">
        <v>1.07</v>
      </c>
      <c r="T73">
        <v>7.3</v>
      </c>
      <c r="W73">
        <v>4660</v>
      </c>
      <c r="X73">
        <v>0</v>
      </c>
      <c r="Y73">
        <v>6.8</v>
      </c>
      <c r="Z73">
        <v>0</v>
      </c>
      <c r="AB73">
        <v>120360000</v>
      </c>
      <c r="AC73">
        <v>112175520</v>
      </c>
      <c r="AD73">
        <v>120360000</v>
      </c>
      <c r="AE73">
        <v>112175520</v>
      </c>
      <c r="AF73">
        <v>249600000</v>
      </c>
      <c r="AG73">
        <v>100</v>
      </c>
      <c r="AH73">
        <v>93.2</v>
      </c>
      <c r="AI73">
        <v>1</v>
      </c>
      <c r="AJ73">
        <v>1.0729610000000001</v>
      </c>
      <c r="AK73">
        <v>0.44940000000000002</v>
      </c>
      <c r="AL73">
        <v>22.44</v>
      </c>
      <c r="AM73">
        <v>22435</v>
      </c>
      <c r="AN73">
        <v>2.3969</v>
      </c>
      <c r="AO73">
        <v>30</v>
      </c>
      <c r="AP73">
        <v>21.87</v>
      </c>
      <c r="AQ73">
        <v>0.72</v>
      </c>
      <c r="AR73">
        <v>-5.95</v>
      </c>
      <c r="AS73">
        <v>1.95</v>
      </c>
      <c r="AT73">
        <v>22.73</v>
      </c>
      <c r="AU73">
        <v>6666.69</v>
      </c>
      <c r="AV73">
        <v>35.81</v>
      </c>
      <c r="AW73">
        <v>15.5</v>
      </c>
      <c r="AX73">
        <v>10.79</v>
      </c>
      <c r="AY73">
        <v>17.209712</v>
      </c>
      <c r="AZ73">
        <v>78.015631999999997</v>
      </c>
      <c r="BA73">
        <v>-15.476063999999999</v>
      </c>
      <c r="BB73">
        <v>-2.6639279999999999</v>
      </c>
      <c r="BC73">
        <v>15.476063999999999</v>
      </c>
      <c r="BD73">
        <v>30.087364000000001</v>
      </c>
      <c r="BE73">
        <v>167.78452799999999</v>
      </c>
      <c r="BF73">
        <v>-10.544674000000001</v>
      </c>
      <c r="BG73">
        <v>4.2686099999999998</v>
      </c>
      <c r="BH73">
        <v>10.544674000000001</v>
      </c>
    </row>
    <row r="74" spans="1:60" x14ac:dyDescent="0.25">
      <c r="A74" t="s">
        <v>202</v>
      </c>
      <c r="B74" t="s">
        <v>203</v>
      </c>
      <c r="C74">
        <v>16</v>
      </c>
      <c r="D74" t="s">
        <v>148</v>
      </c>
      <c r="E74" cm="1">
        <f t="array" ref="E74">_xlfn.SWITCH(D74,"QPSK",0.1,"16QAM",0.25,"64QAM",0.5,"256QAM",0.8,"1024QAM",1,"")</f>
        <v>0.25</v>
      </c>
      <c r="F74" cm="1">
        <f t="array" ref="F74">_xlfn.SWITCH(D74,"QPSK",0.05,"16QAM",0.15,"64QAM",0.4,"256QAM",0.75,"1024QAM",1,"")</f>
        <v>0.15</v>
      </c>
      <c r="G74" t="s">
        <v>61</v>
      </c>
      <c r="H74">
        <v>4</v>
      </c>
      <c r="I74" t="s">
        <v>62</v>
      </c>
      <c r="J74">
        <v>2</v>
      </c>
      <c r="K74">
        <v>2</v>
      </c>
      <c r="L74" t="s">
        <v>63</v>
      </c>
      <c r="M74">
        <v>2</v>
      </c>
      <c r="N74">
        <v>0.47849999999999998</v>
      </c>
      <c r="O74">
        <v>0.48220000000000002</v>
      </c>
      <c r="P74">
        <v>10000</v>
      </c>
      <c r="Q74">
        <v>9254</v>
      </c>
      <c r="R74">
        <v>746</v>
      </c>
      <c r="S74">
        <v>1.08</v>
      </c>
      <c r="T74">
        <v>0.08</v>
      </c>
      <c r="W74">
        <v>9253</v>
      </c>
      <c r="X74">
        <v>0</v>
      </c>
      <c r="Y74">
        <v>7.47</v>
      </c>
      <c r="Z74">
        <v>0.01</v>
      </c>
      <c r="AB74">
        <v>240720000</v>
      </c>
      <c r="AC74">
        <v>222738216</v>
      </c>
      <c r="AD74">
        <v>240720000</v>
      </c>
      <c r="AE74">
        <v>222738216</v>
      </c>
      <c r="AG74">
        <v>99.99</v>
      </c>
      <c r="AH74">
        <v>92.53</v>
      </c>
      <c r="AI74">
        <v>1</v>
      </c>
      <c r="AJ74">
        <v>1.080614</v>
      </c>
      <c r="AK74">
        <v>0.44619999999999999</v>
      </c>
      <c r="AL74">
        <v>22.27</v>
      </c>
      <c r="AM74">
        <v>22274</v>
      </c>
      <c r="AN74">
        <v>2.3797000000000001</v>
      </c>
      <c r="AO74">
        <v>30</v>
      </c>
      <c r="AP74">
        <v>21.87</v>
      </c>
      <c r="AQ74">
        <v>0.72</v>
      </c>
      <c r="AR74">
        <v>-6.09</v>
      </c>
      <c r="AS74">
        <v>1.94</v>
      </c>
      <c r="AT74">
        <v>23.33</v>
      </c>
      <c r="AU74">
        <v>6666.69</v>
      </c>
      <c r="AV74">
        <v>35.81</v>
      </c>
      <c r="AW74">
        <v>15.45</v>
      </c>
      <c r="AX74">
        <v>10.75</v>
      </c>
      <c r="AY74">
        <v>17.323882999999999</v>
      </c>
      <c r="AZ74">
        <v>77.709180000000003</v>
      </c>
      <c r="BA74">
        <v>-15.417158000000001</v>
      </c>
      <c r="BB74">
        <v>-2.7280449999999998</v>
      </c>
      <c r="BC74">
        <v>15.417158000000001</v>
      </c>
      <c r="BD74">
        <v>30.288824999999999</v>
      </c>
      <c r="BE74">
        <v>166.98355599999999</v>
      </c>
      <c r="BF74">
        <v>-10.493537999999999</v>
      </c>
      <c r="BG74">
        <v>4.2324359999999999</v>
      </c>
      <c r="BH74">
        <v>10.493537999999999</v>
      </c>
    </row>
    <row r="75" spans="1:60" x14ac:dyDescent="0.25">
      <c r="A75" t="s">
        <v>204</v>
      </c>
      <c r="B75" t="s">
        <v>205</v>
      </c>
      <c r="C75">
        <v>16</v>
      </c>
      <c r="D75" t="s">
        <v>148</v>
      </c>
      <c r="E75" cm="1">
        <f t="array" ref="E75">_xlfn.SWITCH(D75,"QPSK",0.1,"16QAM",0.25,"64QAM",0.5,"256QAM",0.8,"1024QAM",1,"")</f>
        <v>0.25</v>
      </c>
      <c r="F75" cm="1">
        <f t="array" ref="F75">_xlfn.SWITCH(D75,"QPSK",0.05,"16QAM",0.15,"64QAM",0.4,"256QAM",0.75,"1024QAM",1,"")</f>
        <v>0.15</v>
      </c>
      <c r="G75" t="s">
        <v>61</v>
      </c>
      <c r="H75">
        <v>4</v>
      </c>
      <c r="I75" t="s">
        <v>62</v>
      </c>
      <c r="J75">
        <v>2</v>
      </c>
      <c r="K75">
        <v>2</v>
      </c>
      <c r="L75" t="s">
        <v>63</v>
      </c>
      <c r="M75">
        <v>2</v>
      </c>
      <c r="N75">
        <v>0.47849999999999998</v>
      </c>
      <c r="O75">
        <v>0.48220000000000002</v>
      </c>
      <c r="P75">
        <v>5000</v>
      </c>
      <c r="Q75">
        <v>4644</v>
      </c>
      <c r="R75">
        <v>356</v>
      </c>
      <c r="S75">
        <v>1.08</v>
      </c>
      <c r="T75">
        <v>7.67</v>
      </c>
      <c r="W75">
        <v>4644</v>
      </c>
      <c r="X75">
        <v>0</v>
      </c>
      <c r="Y75">
        <v>7.12</v>
      </c>
      <c r="Z75">
        <v>0</v>
      </c>
      <c r="AB75">
        <v>120360000</v>
      </c>
      <c r="AC75">
        <v>111790368</v>
      </c>
      <c r="AD75">
        <v>120360000</v>
      </c>
      <c r="AE75">
        <v>111790368</v>
      </c>
      <c r="AF75">
        <v>249600000</v>
      </c>
      <c r="AG75">
        <v>100</v>
      </c>
      <c r="AH75">
        <v>92.88</v>
      </c>
      <c r="AI75">
        <v>1</v>
      </c>
      <c r="AJ75">
        <v>1.0766579999999999</v>
      </c>
      <c r="AK75">
        <v>0.44790000000000002</v>
      </c>
      <c r="AL75">
        <v>22.36</v>
      </c>
      <c r="AM75">
        <v>22358</v>
      </c>
      <c r="AN75">
        <v>2.3887</v>
      </c>
      <c r="AO75">
        <v>30</v>
      </c>
      <c r="AP75">
        <v>21.87</v>
      </c>
      <c r="AQ75">
        <v>0.72</v>
      </c>
      <c r="AR75">
        <v>-5.95</v>
      </c>
      <c r="AS75">
        <v>1.95</v>
      </c>
      <c r="AT75">
        <v>22.43</v>
      </c>
      <c r="AU75">
        <v>6666.69</v>
      </c>
      <c r="AV75">
        <v>35.81</v>
      </c>
      <c r="AW75">
        <v>15.51</v>
      </c>
      <c r="AX75">
        <v>10.78</v>
      </c>
      <c r="AY75">
        <v>17.206954</v>
      </c>
      <c r="AZ75">
        <v>78.238910000000004</v>
      </c>
      <c r="BA75">
        <v>-15.479305999999999</v>
      </c>
      <c r="BB75">
        <v>-2.6440519999999998</v>
      </c>
      <c r="BC75">
        <v>15.479305999999999</v>
      </c>
      <c r="BD75">
        <v>30.088698000000001</v>
      </c>
      <c r="BE75">
        <v>168.20141000000001</v>
      </c>
      <c r="BF75">
        <v>-10.54388</v>
      </c>
      <c r="BG75">
        <v>4.2943280000000001</v>
      </c>
      <c r="BH75">
        <v>10.54388</v>
      </c>
    </row>
    <row r="76" spans="1:60" x14ac:dyDescent="0.25">
      <c r="A76" t="s">
        <v>206</v>
      </c>
      <c r="B76" t="s">
        <v>207</v>
      </c>
      <c r="C76">
        <v>16</v>
      </c>
      <c r="D76" t="s">
        <v>148</v>
      </c>
      <c r="E76" cm="1">
        <f t="array" ref="E76">_xlfn.SWITCH(D76,"QPSK",0.1,"16QAM",0.25,"64QAM",0.5,"256QAM",0.8,"1024QAM",1,"")</f>
        <v>0.25</v>
      </c>
      <c r="F76" cm="1">
        <f t="array" ref="F76">_xlfn.SWITCH(D76,"QPSK",0.05,"16QAM",0.15,"64QAM",0.4,"256QAM",0.75,"1024QAM",1,"")</f>
        <v>0.15</v>
      </c>
      <c r="G76" t="s">
        <v>61</v>
      </c>
      <c r="H76">
        <v>8</v>
      </c>
      <c r="I76" t="s">
        <v>62</v>
      </c>
      <c r="J76">
        <v>2</v>
      </c>
      <c r="K76">
        <v>2</v>
      </c>
      <c r="L76" t="s">
        <v>63</v>
      </c>
      <c r="M76">
        <v>2</v>
      </c>
      <c r="N76">
        <v>0.47849999999999998</v>
      </c>
      <c r="O76">
        <v>0.48220000000000002</v>
      </c>
      <c r="P76">
        <v>10000</v>
      </c>
      <c r="Q76">
        <v>9223</v>
      </c>
      <c r="R76">
        <v>777</v>
      </c>
      <c r="S76">
        <v>1.08</v>
      </c>
      <c r="T76">
        <v>0.08</v>
      </c>
      <c r="W76">
        <v>9216</v>
      </c>
      <c r="X76">
        <v>0</v>
      </c>
      <c r="Y76">
        <v>7.84</v>
      </c>
      <c r="Z76">
        <v>0.08</v>
      </c>
      <c r="AB76">
        <v>240720000</v>
      </c>
      <c r="AC76">
        <v>221847552</v>
      </c>
      <c r="AD76">
        <v>240720000</v>
      </c>
      <c r="AE76">
        <v>221847552</v>
      </c>
      <c r="AG76">
        <v>99.92</v>
      </c>
      <c r="AH76">
        <v>92.16</v>
      </c>
      <c r="AI76">
        <v>1</v>
      </c>
      <c r="AJ76">
        <v>1.084246</v>
      </c>
      <c r="AK76">
        <v>0.44440000000000002</v>
      </c>
      <c r="AL76">
        <v>22.18</v>
      </c>
      <c r="AM76">
        <v>22185</v>
      </c>
      <c r="AN76">
        <v>2.3702000000000001</v>
      </c>
      <c r="AO76">
        <v>30</v>
      </c>
      <c r="AP76">
        <v>21.87</v>
      </c>
      <c r="AQ76">
        <v>0.72</v>
      </c>
      <c r="AR76">
        <v>-6.09</v>
      </c>
      <c r="AS76">
        <v>1.94</v>
      </c>
      <c r="AT76">
        <v>23.08</v>
      </c>
      <c r="AU76">
        <v>6666.69</v>
      </c>
      <c r="AV76">
        <v>35.81</v>
      </c>
      <c r="AW76">
        <v>15.44</v>
      </c>
      <c r="AX76">
        <v>10.75</v>
      </c>
      <c r="AY76">
        <v>17.332556</v>
      </c>
      <c r="AZ76">
        <v>77.881518</v>
      </c>
      <c r="BA76">
        <v>-15.412713</v>
      </c>
      <c r="BB76">
        <v>-2.70506</v>
      </c>
      <c r="BC76">
        <v>15.412713</v>
      </c>
      <c r="BD76">
        <v>30.303038999999998</v>
      </c>
      <c r="BE76">
        <v>167.64040499999999</v>
      </c>
      <c r="BF76">
        <v>-10.489712000000001</v>
      </c>
      <c r="BG76">
        <v>4.2663729999999997</v>
      </c>
      <c r="BH76">
        <v>10.489712000000001</v>
      </c>
    </row>
    <row r="77" spans="1:60" x14ac:dyDescent="0.25">
      <c r="A77" t="s">
        <v>208</v>
      </c>
      <c r="B77" t="s">
        <v>209</v>
      </c>
      <c r="C77">
        <v>18</v>
      </c>
      <c r="D77" t="s">
        <v>148</v>
      </c>
      <c r="E77" cm="1">
        <f t="array" ref="E77">_xlfn.SWITCH(D77,"QPSK",0.1,"16QAM",0.25,"64QAM",0.5,"256QAM",0.8,"1024QAM",1,"")</f>
        <v>0.25</v>
      </c>
      <c r="F77" cm="1">
        <f t="array" ref="F77">_xlfn.SWITCH(D77,"QPSK",0.05,"16QAM",0.15,"64QAM",0.4,"256QAM",0.75,"1024QAM",1,"")</f>
        <v>0.15</v>
      </c>
      <c r="G77" t="s">
        <v>61</v>
      </c>
      <c r="H77">
        <v>1</v>
      </c>
      <c r="I77" t="s">
        <v>62</v>
      </c>
      <c r="J77">
        <v>2</v>
      </c>
      <c r="K77">
        <v>2</v>
      </c>
      <c r="L77" t="s">
        <v>63</v>
      </c>
      <c r="M77">
        <v>2</v>
      </c>
      <c r="N77">
        <v>0.47849999999999998</v>
      </c>
      <c r="O77">
        <v>0.48220000000000002</v>
      </c>
      <c r="P77">
        <v>10000</v>
      </c>
      <c r="Q77">
        <v>9746</v>
      </c>
      <c r="R77">
        <v>254</v>
      </c>
      <c r="S77">
        <v>1.03</v>
      </c>
      <c r="T77">
        <v>0.03</v>
      </c>
      <c r="W77">
        <v>9746</v>
      </c>
      <c r="X77">
        <v>0</v>
      </c>
      <c r="Y77">
        <v>2.54</v>
      </c>
      <c r="Z77">
        <v>0</v>
      </c>
      <c r="AB77">
        <v>240720000</v>
      </c>
      <c r="AC77">
        <v>234605712</v>
      </c>
      <c r="AD77">
        <v>240720000</v>
      </c>
      <c r="AE77">
        <v>234605712</v>
      </c>
      <c r="AG77">
        <v>100</v>
      </c>
      <c r="AH77">
        <v>97.46</v>
      </c>
      <c r="AI77">
        <v>1</v>
      </c>
      <c r="AJ77">
        <v>1.026062</v>
      </c>
      <c r="AK77">
        <v>0.47</v>
      </c>
      <c r="AL77">
        <v>23.46</v>
      </c>
      <c r="AM77">
        <v>23461</v>
      </c>
      <c r="AN77">
        <v>2.5065</v>
      </c>
      <c r="AO77">
        <v>30</v>
      </c>
      <c r="AP77">
        <v>21.87</v>
      </c>
      <c r="AQ77">
        <v>0.72</v>
      </c>
      <c r="AR77">
        <v>-6.1</v>
      </c>
      <c r="AS77">
        <v>1.93</v>
      </c>
      <c r="AT77">
        <v>24.43</v>
      </c>
      <c r="AU77">
        <v>6666.69</v>
      </c>
      <c r="AV77">
        <v>35.81</v>
      </c>
      <c r="AW77">
        <v>16.8</v>
      </c>
      <c r="AX77">
        <v>11.45</v>
      </c>
      <c r="AY77">
        <v>14.912191</v>
      </c>
      <c r="AZ77">
        <v>69.117838000000006</v>
      </c>
      <c r="BA77">
        <v>-16.776682999999998</v>
      </c>
      <c r="BB77">
        <v>-3.729743</v>
      </c>
      <c r="BC77">
        <v>16.776682999999998</v>
      </c>
      <c r="BD77">
        <v>27.974981</v>
      </c>
      <c r="BE77">
        <v>159.154934</v>
      </c>
      <c r="BF77">
        <v>-11.238061999999999</v>
      </c>
      <c r="BG77">
        <v>3.7296860000000001</v>
      </c>
      <c r="BH77">
        <v>11.238061999999999</v>
      </c>
    </row>
    <row r="78" spans="1:60" x14ac:dyDescent="0.25">
      <c r="A78" t="s">
        <v>210</v>
      </c>
      <c r="B78" t="s">
        <v>211</v>
      </c>
      <c r="C78">
        <v>18</v>
      </c>
      <c r="D78" t="s">
        <v>148</v>
      </c>
      <c r="E78" cm="1">
        <f t="array" ref="E78">_xlfn.SWITCH(D78,"QPSK",0.1,"16QAM",0.25,"64QAM",0.5,"256QAM",0.8,"1024QAM",1,"")</f>
        <v>0.25</v>
      </c>
      <c r="F78" cm="1">
        <f t="array" ref="F78">_xlfn.SWITCH(D78,"QPSK",0.05,"16QAM",0.15,"64QAM",0.4,"256QAM",0.75,"1024QAM",1,"")</f>
        <v>0.15</v>
      </c>
      <c r="G78" t="s">
        <v>61</v>
      </c>
      <c r="H78">
        <v>4</v>
      </c>
      <c r="I78" t="s">
        <v>62</v>
      </c>
      <c r="J78">
        <v>2</v>
      </c>
      <c r="K78">
        <v>2</v>
      </c>
      <c r="L78" t="s">
        <v>63</v>
      </c>
      <c r="M78">
        <v>2</v>
      </c>
      <c r="N78">
        <v>0.47849999999999998</v>
      </c>
      <c r="O78">
        <v>0.48220000000000002</v>
      </c>
      <c r="P78">
        <v>10000</v>
      </c>
      <c r="Q78">
        <v>9711</v>
      </c>
      <c r="R78">
        <v>289</v>
      </c>
      <c r="S78">
        <v>1.03</v>
      </c>
      <c r="T78">
        <v>0.03</v>
      </c>
      <c r="W78">
        <v>9710</v>
      </c>
      <c r="X78">
        <v>0</v>
      </c>
      <c r="Y78">
        <v>2.9</v>
      </c>
      <c r="Z78">
        <v>0.01</v>
      </c>
      <c r="AB78">
        <v>240720000</v>
      </c>
      <c r="AC78">
        <v>233739120</v>
      </c>
      <c r="AD78">
        <v>240720000</v>
      </c>
      <c r="AE78">
        <v>233739120</v>
      </c>
      <c r="AG78">
        <v>99.99</v>
      </c>
      <c r="AH78">
        <v>97.1</v>
      </c>
      <c r="AI78">
        <v>1</v>
      </c>
      <c r="AJ78">
        <v>1.02976</v>
      </c>
      <c r="AK78">
        <v>0.46820000000000001</v>
      </c>
      <c r="AL78">
        <v>23.37</v>
      </c>
      <c r="AM78">
        <v>23374</v>
      </c>
      <c r="AN78">
        <v>2.4971999999999999</v>
      </c>
      <c r="AO78">
        <v>30</v>
      </c>
      <c r="AP78">
        <v>21.87</v>
      </c>
      <c r="AQ78">
        <v>0.72</v>
      </c>
      <c r="AR78">
        <v>-6.1</v>
      </c>
      <c r="AS78">
        <v>1.93</v>
      </c>
      <c r="AT78">
        <v>24.31</v>
      </c>
      <c r="AU78">
        <v>6666.69</v>
      </c>
      <c r="AV78">
        <v>35.81</v>
      </c>
      <c r="AW78">
        <v>16.8</v>
      </c>
      <c r="AX78">
        <v>11.45</v>
      </c>
      <c r="AY78">
        <v>14.913817</v>
      </c>
      <c r="AZ78">
        <v>69.145498000000003</v>
      </c>
      <c r="BA78">
        <v>-16.775832999999999</v>
      </c>
      <c r="BB78">
        <v>-3.7278880000000001</v>
      </c>
      <c r="BC78">
        <v>16.775832999999999</v>
      </c>
      <c r="BD78">
        <v>27.976662000000001</v>
      </c>
      <c r="BE78">
        <v>158.848356</v>
      </c>
      <c r="BF78">
        <v>-11.237830000000001</v>
      </c>
      <c r="BG78">
        <v>3.7152660000000002</v>
      </c>
      <c r="BH78">
        <v>11.237830000000001</v>
      </c>
    </row>
    <row r="79" spans="1:60" x14ac:dyDescent="0.25">
      <c r="A79" t="s">
        <v>212</v>
      </c>
      <c r="B79" t="s">
        <v>213</v>
      </c>
      <c r="C79">
        <v>18</v>
      </c>
      <c r="D79" t="s">
        <v>148</v>
      </c>
      <c r="E79" cm="1">
        <f t="array" ref="E79">_xlfn.SWITCH(D79,"QPSK",0.1,"16QAM",0.25,"64QAM",0.5,"256QAM",0.8,"1024QAM",1,"")</f>
        <v>0.25</v>
      </c>
      <c r="F79" cm="1">
        <f t="array" ref="F79">_xlfn.SWITCH(D79,"QPSK",0.05,"16QAM",0.15,"64QAM",0.4,"256QAM",0.75,"1024QAM",1,"")</f>
        <v>0.15</v>
      </c>
      <c r="G79" t="s">
        <v>61</v>
      </c>
      <c r="H79">
        <v>8</v>
      </c>
      <c r="I79" t="s">
        <v>62</v>
      </c>
      <c r="J79">
        <v>2</v>
      </c>
      <c r="K79">
        <v>2</v>
      </c>
      <c r="L79" t="s">
        <v>63</v>
      </c>
      <c r="M79">
        <v>2</v>
      </c>
      <c r="N79">
        <v>0.47849999999999998</v>
      </c>
      <c r="O79">
        <v>0.48220000000000002</v>
      </c>
      <c r="P79">
        <v>10000</v>
      </c>
      <c r="Q79">
        <v>9705</v>
      </c>
      <c r="R79">
        <v>295</v>
      </c>
      <c r="S79">
        <v>1.03</v>
      </c>
      <c r="T79">
        <v>0.03</v>
      </c>
      <c r="W79">
        <v>9700</v>
      </c>
      <c r="X79">
        <v>0</v>
      </c>
      <c r="Y79">
        <v>3</v>
      </c>
      <c r="Z79">
        <v>0.05</v>
      </c>
      <c r="AB79">
        <v>240720000</v>
      </c>
      <c r="AC79">
        <v>233498400</v>
      </c>
      <c r="AD79">
        <v>240720000</v>
      </c>
      <c r="AE79">
        <v>233498400</v>
      </c>
      <c r="AG79">
        <v>99.95</v>
      </c>
      <c r="AH79">
        <v>97</v>
      </c>
      <c r="AI79">
        <v>1</v>
      </c>
      <c r="AJ79">
        <v>1.030397</v>
      </c>
      <c r="AK79">
        <v>0.4677</v>
      </c>
      <c r="AL79">
        <v>23.35</v>
      </c>
      <c r="AM79">
        <v>23350</v>
      </c>
      <c r="AN79">
        <v>2.4946000000000002</v>
      </c>
      <c r="AO79">
        <v>30</v>
      </c>
      <c r="AP79">
        <v>21.87</v>
      </c>
      <c r="AQ79">
        <v>0.72</v>
      </c>
      <c r="AR79">
        <v>-6.1</v>
      </c>
      <c r="AS79">
        <v>1.93</v>
      </c>
      <c r="AT79">
        <v>24.4</v>
      </c>
      <c r="AU79">
        <v>6666.69</v>
      </c>
      <c r="AV79">
        <v>35.81</v>
      </c>
      <c r="AW79">
        <v>16.8</v>
      </c>
      <c r="AX79">
        <v>11.44</v>
      </c>
      <c r="AY79">
        <v>14.903497</v>
      </c>
      <c r="AZ79">
        <v>68.949034999999995</v>
      </c>
      <c r="BA79">
        <v>-16.781877999999999</v>
      </c>
      <c r="BB79">
        <v>-3.7488959999999998</v>
      </c>
      <c r="BC79">
        <v>16.781877999999999</v>
      </c>
      <c r="BD79">
        <v>27.982305</v>
      </c>
      <c r="BE79">
        <v>159.33784399999999</v>
      </c>
      <c r="BF79">
        <v>-11.236084999999999</v>
      </c>
      <c r="BG79">
        <v>3.7332450000000001</v>
      </c>
      <c r="BH79">
        <v>11.236084999999999</v>
      </c>
    </row>
    <row r="80" spans="1:60" x14ac:dyDescent="0.25">
      <c r="A80" t="s">
        <v>214</v>
      </c>
      <c r="B80" t="s">
        <v>215</v>
      </c>
      <c r="C80">
        <v>2</v>
      </c>
      <c r="D80" t="s">
        <v>148</v>
      </c>
      <c r="E80" cm="1">
        <f t="array" ref="E80">_xlfn.SWITCH(D80,"QPSK",0.1,"16QAM",0.25,"64QAM",0.5,"256QAM",0.8,"1024QAM",1,"")</f>
        <v>0.25</v>
      </c>
      <c r="F80" cm="1">
        <f t="array" ref="F80">_xlfn.SWITCH(D80,"QPSK",0.05,"16QAM",0.15,"64QAM",0.4,"256QAM",0.75,"1024QAM",1,"")</f>
        <v>0.15</v>
      </c>
      <c r="G80" t="s">
        <v>61</v>
      </c>
      <c r="H80">
        <v>16</v>
      </c>
      <c r="I80" t="s">
        <v>62</v>
      </c>
      <c r="J80">
        <v>2</v>
      </c>
      <c r="K80">
        <v>2</v>
      </c>
      <c r="L80" t="s">
        <v>63</v>
      </c>
      <c r="M80">
        <v>2</v>
      </c>
      <c r="N80">
        <v>0.47849999999999998</v>
      </c>
      <c r="O80">
        <v>0.48220000000000002</v>
      </c>
      <c r="P80">
        <v>5000</v>
      </c>
      <c r="Q80">
        <v>1344</v>
      </c>
      <c r="R80">
        <v>3656</v>
      </c>
      <c r="S80">
        <v>3.72</v>
      </c>
      <c r="T80">
        <v>272.02</v>
      </c>
      <c r="W80">
        <v>533</v>
      </c>
      <c r="X80">
        <v>800</v>
      </c>
      <c r="Y80">
        <v>89.34</v>
      </c>
      <c r="Z80">
        <v>60.34</v>
      </c>
      <c r="AB80">
        <v>120360000</v>
      </c>
      <c r="AC80">
        <v>12830376</v>
      </c>
      <c r="AD80">
        <v>120360000</v>
      </c>
      <c r="AE80">
        <v>12830376</v>
      </c>
      <c r="AF80">
        <v>249600000</v>
      </c>
      <c r="AG80">
        <v>39.659999999999997</v>
      </c>
      <c r="AH80">
        <v>10.66</v>
      </c>
      <c r="AI80">
        <v>1</v>
      </c>
      <c r="AJ80">
        <v>3.7202380000000002</v>
      </c>
      <c r="AK80">
        <v>5.1400000000000001E-2</v>
      </c>
      <c r="AL80">
        <v>2.57</v>
      </c>
      <c r="AM80">
        <v>2566</v>
      </c>
      <c r="AN80">
        <v>0.2742</v>
      </c>
      <c r="AO80">
        <v>30</v>
      </c>
      <c r="AP80">
        <v>21.87</v>
      </c>
      <c r="AQ80">
        <v>0.72</v>
      </c>
      <c r="AR80">
        <v>-5.83</v>
      </c>
      <c r="AS80">
        <v>1.89</v>
      </c>
      <c r="AT80">
        <v>13.01</v>
      </c>
      <c r="AU80">
        <v>6666.69</v>
      </c>
      <c r="AV80">
        <v>35.81</v>
      </c>
      <c r="AW80">
        <v>9.9</v>
      </c>
      <c r="AX80">
        <v>6.75</v>
      </c>
      <c r="AY80">
        <v>32.92409</v>
      </c>
      <c r="AZ80">
        <v>143.70559399999999</v>
      </c>
      <c r="BA80">
        <v>-9.6719000000000008</v>
      </c>
      <c r="BB80">
        <v>3.00102</v>
      </c>
      <c r="BC80">
        <v>9.6719000000000008</v>
      </c>
      <c r="BD80">
        <v>41.780920000000002</v>
      </c>
      <c r="BE80">
        <v>249.716238</v>
      </c>
      <c r="BF80">
        <v>-7.6168560000000003</v>
      </c>
      <c r="BG80">
        <v>7.7118500000000001</v>
      </c>
      <c r="BH80">
        <v>7.6168560000000003</v>
      </c>
    </row>
    <row r="81" spans="1:60" x14ac:dyDescent="0.25">
      <c r="A81" t="s">
        <v>216</v>
      </c>
      <c r="B81" t="s">
        <v>161</v>
      </c>
      <c r="C81">
        <v>2</v>
      </c>
      <c r="D81" t="s">
        <v>148</v>
      </c>
      <c r="E81" cm="1">
        <f t="array" ref="E81">_xlfn.SWITCH(D81,"QPSK",0.1,"16QAM",0.25,"64QAM",0.5,"256QAM",0.8,"1024QAM",1,"")</f>
        <v>0.25</v>
      </c>
      <c r="F81" cm="1">
        <f t="array" ref="F81">_xlfn.SWITCH(D81,"QPSK",0.05,"16QAM",0.15,"64QAM",0.4,"256QAM",0.75,"1024QAM",1,"")</f>
        <v>0.15</v>
      </c>
      <c r="G81" t="s">
        <v>61</v>
      </c>
      <c r="H81">
        <v>1</v>
      </c>
      <c r="I81" t="s">
        <v>62</v>
      </c>
      <c r="J81">
        <v>2</v>
      </c>
      <c r="K81">
        <v>2</v>
      </c>
      <c r="L81" t="s">
        <v>63</v>
      </c>
      <c r="M81">
        <v>2</v>
      </c>
      <c r="N81">
        <v>0.47849999999999998</v>
      </c>
      <c r="O81">
        <v>0.48220000000000002</v>
      </c>
      <c r="P81">
        <v>10000</v>
      </c>
      <c r="Q81">
        <v>2696</v>
      </c>
      <c r="R81">
        <v>7304</v>
      </c>
      <c r="S81">
        <v>3.71</v>
      </c>
      <c r="T81">
        <v>2.71</v>
      </c>
      <c r="W81">
        <v>1055</v>
      </c>
      <c r="X81">
        <v>0</v>
      </c>
      <c r="Y81">
        <v>89.45</v>
      </c>
      <c r="Z81">
        <v>60.87</v>
      </c>
      <c r="AB81">
        <v>240720000</v>
      </c>
      <c r="AC81">
        <v>25395960</v>
      </c>
      <c r="AD81">
        <v>240720000</v>
      </c>
      <c r="AE81">
        <v>25395960</v>
      </c>
      <c r="AG81">
        <v>39.130000000000003</v>
      </c>
      <c r="AH81">
        <v>10.55</v>
      </c>
      <c r="AI81">
        <v>1</v>
      </c>
      <c r="AJ81">
        <v>3.7091989999999999</v>
      </c>
      <c r="AK81">
        <v>5.0900000000000001E-2</v>
      </c>
      <c r="AL81">
        <v>2.54</v>
      </c>
      <c r="AM81">
        <v>2540</v>
      </c>
      <c r="AN81">
        <v>0.27129999999999999</v>
      </c>
      <c r="AO81">
        <v>30</v>
      </c>
      <c r="AP81">
        <v>21.87</v>
      </c>
      <c r="AQ81">
        <v>0.72</v>
      </c>
      <c r="AR81">
        <v>-5.96</v>
      </c>
      <c r="AS81">
        <v>1.86</v>
      </c>
      <c r="AT81">
        <v>12.55</v>
      </c>
      <c r="AU81">
        <v>6666.69</v>
      </c>
      <c r="AV81">
        <v>35.81</v>
      </c>
      <c r="AW81">
        <v>9.86</v>
      </c>
      <c r="AX81">
        <v>6.66</v>
      </c>
      <c r="AY81">
        <v>33.073497000000003</v>
      </c>
      <c r="AZ81">
        <v>145.09832</v>
      </c>
      <c r="BA81">
        <v>-9.6317830000000004</v>
      </c>
      <c r="BB81">
        <v>3.088749</v>
      </c>
      <c r="BC81">
        <v>9.6317830000000004</v>
      </c>
      <c r="BD81">
        <v>42.088465999999997</v>
      </c>
      <c r="BE81">
        <v>255.03608700000001</v>
      </c>
      <c r="BF81">
        <v>-7.5580259999999999</v>
      </c>
      <c r="BG81">
        <v>7.8714149999999998</v>
      </c>
      <c r="BH81">
        <v>7.5580259999999999</v>
      </c>
    </row>
    <row r="82" spans="1:60" x14ac:dyDescent="0.25">
      <c r="A82" t="s">
        <v>217</v>
      </c>
      <c r="B82" t="s">
        <v>152</v>
      </c>
      <c r="C82">
        <v>2</v>
      </c>
      <c r="D82" t="s">
        <v>148</v>
      </c>
      <c r="E82" cm="1">
        <f t="array" ref="E82">_xlfn.SWITCH(D82,"QPSK",0.1,"16QAM",0.25,"64QAM",0.5,"256QAM",0.8,"1024QAM",1,"")</f>
        <v>0.25</v>
      </c>
      <c r="F82" cm="1">
        <f t="array" ref="F82">_xlfn.SWITCH(D82,"QPSK",0.05,"16QAM",0.15,"64QAM",0.4,"256QAM",0.75,"1024QAM",1,"")</f>
        <v>0.15</v>
      </c>
      <c r="G82" t="s">
        <v>61</v>
      </c>
      <c r="H82">
        <v>1</v>
      </c>
      <c r="I82" t="s">
        <v>62</v>
      </c>
      <c r="J82">
        <v>2</v>
      </c>
      <c r="K82">
        <v>2</v>
      </c>
      <c r="L82" t="s">
        <v>63</v>
      </c>
      <c r="M82">
        <v>2</v>
      </c>
      <c r="N82">
        <v>0.47849999999999998</v>
      </c>
      <c r="O82">
        <v>0.48220000000000002</v>
      </c>
      <c r="P82">
        <v>5000</v>
      </c>
      <c r="Q82">
        <v>1355</v>
      </c>
      <c r="R82">
        <v>3645</v>
      </c>
      <c r="S82">
        <v>3.69</v>
      </c>
      <c r="T82">
        <v>269</v>
      </c>
      <c r="W82">
        <v>572</v>
      </c>
      <c r="X82">
        <v>783</v>
      </c>
      <c r="Y82">
        <v>88.56</v>
      </c>
      <c r="Z82">
        <v>57.79</v>
      </c>
      <c r="AB82">
        <v>120360000</v>
      </c>
      <c r="AC82">
        <v>13769184</v>
      </c>
      <c r="AD82">
        <v>120360000</v>
      </c>
      <c r="AE82">
        <v>13769184</v>
      </c>
      <c r="AF82">
        <v>249600000</v>
      </c>
      <c r="AG82">
        <v>42.21</v>
      </c>
      <c r="AH82">
        <v>11.44</v>
      </c>
      <c r="AI82">
        <v>1</v>
      </c>
      <c r="AJ82">
        <v>3.6900369999999998</v>
      </c>
      <c r="AK82">
        <v>5.5199999999999999E-2</v>
      </c>
      <c r="AL82">
        <v>2.75</v>
      </c>
      <c r="AM82">
        <v>2754</v>
      </c>
      <c r="AN82">
        <v>0.29420000000000002</v>
      </c>
      <c r="AO82">
        <v>30</v>
      </c>
      <c r="AP82">
        <v>21.87</v>
      </c>
      <c r="AQ82">
        <v>0.72</v>
      </c>
      <c r="AR82">
        <v>-5.83</v>
      </c>
      <c r="AS82">
        <v>1.89</v>
      </c>
      <c r="AT82">
        <v>12.9</v>
      </c>
      <c r="AU82">
        <v>6666.69</v>
      </c>
      <c r="AV82">
        <v>35.81</v>
      </c>
      <c r="AW82">
        <v>9.9</v>
      </c>
      <c r="AX82">
        <v>6.75</v>
      </c>
      <c r="AY82">
        <v>32.926825999999998</v>
      </c>
      <c r="AZ82">
        <v>143.169284</v>
      </c>
      <c r="BA82">
        <v>-9.6711740000000006</v>
      </c>
      <c r="BB82">
        <v>2.9715720000000001</v>
      </c>
      <c r="BC82">
        <v>9.6711740000000006</v>
      </c>
      <c r="BD82">
        <v>41.804540000000003</v>
      </c>
      <c r="BE82">
        <v>250.62282400000001</v>
      </c>
      <c r="BF82">
        <v>-7.6123159999999999</v>
      </c>
      <c r="BG82">
        <v>7.7403420000000001</v>
      </c>
      <c r="BH82">
        <v>7.6123159999999999</v>
      </c>
    </row>
    <row r="83" spans="1:60" x14ac:dyDescent="0.25">
      <c r="A83" t="s">
        <v>218</v>
      </c>
      <c r="B83" t="s">
        <v>219</v>
      </c>
      <c r="C83">
        <v>2</v>
      </c>
      <c r="D83" t="s">
        <v>148</v>
      </c>
      <c r="E83" cm="1">
        <f t="array" ref="E83">_xlfn.SWITCH(D83,"QPSK",0.1,"16QAM",0.25,"64QAM",0.5,"256QAM",0.8,"1024QAM",1,"")</f>
        <v>0.25</v>
      </c>
      <c r="F83" cm="1">
        <f t="array" ref="F83">_xlfn.SWITCH(D83,"QPSK",0.05,"16QAM",0.15,"64QAM",0.4,"256QAM",0.75,"1024QAM",1,"")</f>
        <v>0.15</v>
      </c>
      <c r="G83" t="s">
        <v>61</v>
      </c>
      <c r="H83">
        <v>4</v>
      </c>
      <c r="I83" t="s">
        <v>62</v>
      </c>
      <c r="J83">
        <v>2</v>
      </c>
      <c r="K83">
        <v>2</v>
      </c>
      <c r="L83" t="s">
        <v>63</v>
      </c>
      <c r="M83">
        <v>2</v>
      </c>
      <c r="N83">
        <v>0.47849999999999998</v>
      </c>
      <c r="O83">
        <v>0.48220000000000002</v>
      </c>
      <c r="P83">
        <v>10000</v>
      </c>
      <c r="Q83">
        <v>2691</v>
      </c>
      <c r="R83">
        <v>7309</v>
      </c>
      <c r="S83">
        <v>3.72</v>
      </c>
      <c r="T83">
        <v>2.72</v>
      </c>
      <c r="W83">
        <v>1046</v>
      </c>
      <c r="X83">
        <v>0</v>
      </c>
      <c r="Y83">
        <v>89.54</v>
      </c>
      <c r="Z83">
        <v>61.13</v>
      </c>
      <c r="AB83">
        <v>240720000</v>
      </c>
      <c r="AC83">
        <v>25179312</v>
      </c>
      <c r="AD83">
        <v>240720000</v>
      </c>
      <c r="AE83">
        <v>25179312</v>
      </c>
      <c r="AG83">
        <v>38.869999999999997</v>
      </c>
      <c r="AH83">
        <v>10.46</v>
      </c>
      <c r="AI83">
        <v>1</v>
      </c>
      <c r="AJ83">
        <v>3.716091</v>
      </c>
      <c r="AK83">
        <v>5.04E-2</v>
      </c>
      <c r="AL83">
        <v>2.52</v>
      </c>
      <c r="AM83">
        <v>2518</v>
      </c>
      <c r="AN83">
        <v>0.26900000000000002</v>
      </c>
      <c r="AO83">
        <v>30</v>
      </c>
      <c r="AP83">
        <v>21.87</v>
      </c>
      <c r="AQ83">
        <v>0.72</v>
      </c>
      <c r="AR83">
        <v>-5.96</v>
      </c>
      <c r="AS83">
        <v>1.86</v>
      </c>
      <c r="AT83">
        <v>12.62</v>
      </c>
      <c r="AU83">
        <v>6666.69</v>
      </c>
      <c r="AV83">
        <v>35.81</v>
      </c>
      <c r="AW83">
        <v>9.86</v>
      </c>
      <c r="AX83">
        <v>6.66</v>
      </c>
      <c r="AY83">
        <v>33.074024999999999</v>
      </c>
      <c r="AZ83">
        <v>145.021017</v>
      </c>
      <c r="BA83">
        <v>-9.6317690000000002</v>
      </c>
      <c r="BB83">
        <v>3.083577</v>
      </c>
      <c r="BC83">
        <v>9.6317690000000002</v>
      </c>
      <c r="BD83">
        <v>42.084023000000002</v>
      </c>
      <c r="BE83">
        <v>254.54430600000001</v>
      </c>
      <c r="BF83">
        <v>-7.5587140000000002</v>
      </c>
      <c r="BG83">
        <v>7.8561959999999997</v>
      </c>
      <c r="BH83">
        <v>7.5587140000000002</v>
      </c>
    </row>
    <row r="84" spans="1:60" x14ac:dyDescent="0.25">
      <c r="A84" t="s">
        <v>220</v>
      </c>
      <c r="B84" t="s">
        <v>221</v>
      </c>
      <c r="C84">
        <v>2</v>
      </c>
      <c r="D84" t="s">
        <v>148</v>
      </c>
      <c r="E84" cm="1">
        <f t="array" ref="E84">_xlfn.SWITCH(D84,"QPSK",0.1,"16QAM",0.25,"64QAM",0.5,"256QAM",0.8,"1024QAM",1,"")</f>
        <v>0.25</v>
      </c>
      <c r="F84" cm="1">
        <f t="array" ref="F84">_xlfn.SWITCH(D84,"QPSK",0.05,"16QAM",0.15,"64QAM",0.4,"256QAM",0.75,"1024QAM",1,"")</f>
        <v>0.15</v>
      </c>
      <c r="G84" t="s">
        <v>61</v>
      </c>
      <c r="H84">
        <v>4</v>
      </c>
      <c r="I84" t="s">
        <v>62</v>
      </c>
      <c r="J84">
        <v>2</v>
      </c>
      <c r="K84">
        <v>2</v>
      </c>
      <c r="L84" t="s">
        <v>63</v>
      </c>
      <c r="M84">
        <v>2</v>
      </c>
      <c r="N84">
        <v>0.47849999999999998</v>
      </c>
      <c r="O84">
        <v>0.48220000000000002</v>
      </c>
      <c r="P84">
        <v>5000</v>
      </c>
      <c r="Q84">
        <v>1355</v>
      </c>
      <c r="R84">
        <v>3645</v>
      </c>
      <c r="S84">
        <v>3.69</v>
      </c>
      <c r="T84">
        <v>269</v>
      </c>
      <c r="W84">
        <v>565</v>
      </c>
      <c r="X84">
        <v>789</v>
      </c>
      <c r="Y84">
        <v>88.7</v>
      </c>
      <c r="Z84">
        <v>58.3</v>
      </c>
      <c r="AB84">
        <v>120360000</v>
      </c>
      <c r="AC84">
        <v>13600680</v>
      </c>
      <c r="AD84">
        <v>120360000</v>
      </c>
      <c r="AE84">
        <v>13600680</v>
      </c>
      <c r="AF84">
        <v>249600000</v>
      </c>
      <c r="AG84">
        <v>41.7</v>
      </c>
      <c r="AH84">
        <v>11.3</v>
      </c>
      <c r="AI84">
        <v>1</v>
      </c>
      <c r="AJ84">
        <v>3.6900369999999998</v>
      </c>
      <c r="AK84">
        <v>5.45E-2</v>
      </c>
      <c r="AL84">
        <v>2.72</v>
      </c>
      <c r="AM84">
        <v>2720</v>
      </c>
      <c r="AN84">
        <v>0.29060000000000002</v>
      </c>
      <c r="AO84">
        <v>30</v>
      </c>
      <c r="AP84">
        <v>21.87</v>
      </c>
      <c r="AQ84">
        <v>0.72</v>
      </c>
      <c r="AR84">
        <v>-5.83</v>
      </c>
      <c r="AS84">
        <v>1.89</v>
      </c>
      <c r="AT84">
        <v>13.05</v>
      </c>
      <c r="AU84">
        <v>6666.69</v>
      </c>
      <c r="AV84">
        <v>35.81</v>
      </c>
      <c r="AW84">
        <v>9.9</v>
      </c>
      <c r="AX84">
        <v>6.76</v>
      </c>
      <c r="AY84">
        <v>32.920262000000001</v>
      </c>
      <c r="AZ84">
        <v>143.154528</v>
      </c>
      <c r="BA84">
        <v>-9.6729500000000002</v>
      </c>
      <c r="BB84">
        <v>2.969592</v>
      </c>
      <c r="BC84">
        <v>9.6729500000000002</v>
      </c>
      <c r="BD84">
        <v>41.776055999999997</v>
      </c>
      <c r="BE84">
        <v>250.280922</v>
      </c>
      <c r="BF84">
        <v>-7.6177380000000001</v>
      </c>
      <c r="BG84">
        <v>7.7306879999999998</v>
      </c>
      <c r="BH84">
        <v>7.6177380000000001</v>
      </c>
    </row>
    <row r="85" spans="1:60" x14ac:dyDescent="0.25">
      <c r="A85" t="s">
        <v>222</v>
      </c>
      <c r="B85" t="s">
        <v>223</v>
      </c>
      <c r="C85">
        <v>2</v>
      </c>
      <c r="D85" t="s">
        <v>148</v>
      </c>
      <c r="E85" cm="1">
        <f t="array" ref="E85">_xlfn.SWITCH(D85,"QPSK",0.1,"16QAM",0.25,"64QAM",0.5,"256QAM",0.8,"1024QAM",1,"")</f>
        <v>0.25</v>
      </c>
      <c r="F85" cm="1">
        <f t="array" ref="F85">_xlfn.SWITCH(D85,"QPSK",0.05,"16QAM",0.15,"64QAM",0.4,"256QAM",0.75,"1024QAM",1,"")</f>
        <v>0.15</v>
      </c>
      <c r="G85" t="s">
        <v>61</v>
      </c>
      <c r="H85">
        <v>8</v>
      </c>
      <c r="I85" t="s">
        <v>62</v>
      </c>
      <c r="J85">
        <v>2</v>
      </c>
      <c r="K85">
        <v>2</v>
      </c>
      <c r="L85" t="s">
        <v>63</v>
      </c>
      <c r="M85">
        <v>2</v>
      </c>
      <c r="N85">
        <v>0.47849999999999998</v>
      </c>
      <c r="O85">
        <v>0.48220000000000002</v>
      </c>
      <c r="P85">
        <v>10000</v>
      </c>
      <c r="Q85">
        <v>2685</v>
      </c>
      <c r="R85">
        <v>7315</v>
      </c>
      <c r="S85">
        <v>3.72</v>
      </c>
      <c r="T85">
        <v>2.72</v>
      </c>
      <c r="W85">
        <v>1024</v>
      </c>
      <c r="X85">
        <v>0</v>
      </c>
      <c r="Y85">
        <v>89.76</v>
      </c>
      <c r="Z85">
        <v>61.86</v>
      </c>
      <c r="AB85">
        <v>240720000</v>
      </c>
      <c r="AC85">
        <v>24649728</v>
      </c>
      <c r="AD85">
        <v>240720000</v>
      </c>
      <c r="AE85">
        <v>24649728</v>
      </c>
      <c r="AG85">
        <v>38.14</v>
      </c>
      <c r="AH85">
        <v>10.24</v>
      </c>
      <c r="AI85">
        <v>1</v>
      </c>
      <c r="AJ85">
        <v>3.7243949999999999</v>
      </c>
      <c r="AK85">
        <v>4.9399999999999999E-2</v>
      </c>
      <c r="AL85">
        <v>2.46</v>
      </c>
      <c r="AM85">
        <v>2465</v>
      </c>
      <c r="AN85">
        <v>0.26340000000000002</v>
      </c>
      <c r="AO85">
        <v>30</v>
      </c>
      <c r="AP85">
        <v>21.87</v>
      </c>
      <c r="AQ85">
        <v>0.72</v>
      </c>
      <c r="AR85">
        <v>-5.96</v>
      </c>
      <c r="AS85">
        <v>1.86</v>
      </c>
      <c r="AT85">
        <v>12.58</v>
      </c>
      <c r="AU85">
        <v>6666.69</v>
      </c>
      <c r="AV85">
        <v>35.81</v>
      </c>
      <c r="AW85">
        <v>9.86</v>
      </c>
      <c r="AX85">
        <v>6.66</v>
      </c>
      <c r="AY85">
        <v>33.072909000000003</v>
      </c>
      <c r="AZ85">
        <v>145.11328800000001</v>
      </c>
      <c r="BA85">
        <v>-9.6320049999999995</v>
      </c>
      <c r="BB85">
        <v>3.0898270000000001</v>
      </c>
      <c r="BC85">
        <v>9.6320049999999995</v>
      </c>
      <c r="BD85">
        <v>42.102927000000001</v>
      </c>
      <c r="BE85">
        <v>254.41620499999999</v>
      </c>
      <c r="BF85">
        <v>-7.5552200000000003</v>
      </c>
      <c r="BG85">
        <v>7.8495920000000003</v>
      </c>
      <c r="BH85">
        <v>7.5552200000000003</v>
      </c>
    </row>
    <row r="86" spans="1:60" x14ac:dyDescent="0.25">
      <c r="A86" t="s">
        <v>224</v>
      </c>
      <c r="B86" t="s">
        <v>225</v>
      </c>
      <c r="C86">
        <v>20</v>
      </c>
      <c r="D86" t="s">
        <v>148</v>
      </c>
      <c r="E86" cm="1">
        <f t="array" ref="E86">_xlfn.SWITCH(D86,"QPSK",0.1,"16QAM",0.25,"64QAM",0.5,"256QAM",0.8,"1024QAM",1,"")</f>
        <v>0.25</v>
      </c>
      <c r="F86" cm="1">
        <f t="array" ref="F86">_xlfn.SWITCH(D86,"QPSK",0.05,"16QAM",0.15,"64QAM",0.4,"256QAM",0.75,"1024QAM",1,"")</f>
        <v>0.15</v>
      </c>
      <c r="G86" t="s">
        <v>61</v>
      </c>
      <c r="H86">
        <v>1</v>
      </c>
      <c r="I86" t="s">
        <v>62</v>
      </c>
      <c r="J86">
        <v>2</v>
      </c>
      <c r="K86">
        <v>2</v>
      </c>
      <c r="L86" t="s">
        <v>63</v>
      </c>
      <c r="M86">
        <v>2</v>
      </c>
      <c r="N86">
        <v>0.47849999999999998</v>
      </c>
      <c r="O86">
        <v>0.48220000000000002</v>
      </c>
      <c r="P86">
        <v>10000</v>
      </c>
      <c r="Q86">
        <v>9921</v>
      </c>
      <c r="R86">
        <v>79</v>
      </c>
      <c r="S86">
        <v>1.01</v>
      </c>
      <c r="T86">
        <v>0.01</v>
      </c>
      <c r="W86">
        <v>9920</v>
      </c>
      <c r="X86">
        <v>0</v>
      </c>
      <c r="Y86">
        <v>0.8</v>
      </c>
      <c r="Z86">
        <v>0.01</v>
      </c>
      <c r="AB86">
        <v>240720000</v>
      </c>
      <c r="AC86">
        <v>238794240</v>
      </c>
      <c r="AD86">
        <v>240720000</v>
      </c>
      <c r="AE86">
        <v>238794240</v>
      </c>
      <c r="AG86">
        <v>99.99</v>
      </c>
      <c r="AH86">
        <v>99.2</v>
      </c>
      <c r="AI86">
        <v>1</v>
      </c>
      <c r="AJ86">
        <v>1.0079629999999999</v>
      </c>
      <c r="AK86">
        <v>0.47839999999999999</v>
      </c>
      <c r="AL86">
        <v>23.88</v>
      </c>
      <c r="AM86">
        <v>23879</v>
      </c>
      <c r="AN86">
        <v>2.5512000000000001</v>
      </c>
      <c r="AO86">
        <v>30</v>
      </c>
      <c r="AP86">
        <v>21.87</v>
      </c>
      <c r="AQ86">
        <v>0.72</v>
      </c>
      <c r="AR86">
        <v>-6.11</v>
      </c>
      <c r="AS86">
        <v>1.94</v>
      </c>
      <c r="AT86">
        <v>25.76</v>
      </c>
      <c r="AU86">
        <v>6666.69</v>
      </c>
      <c r="AV86">
        <v>35.81</v>
      </c>
      <c r="AW86">
        <v>18.22</v>
      </c>
      <c r="AX86">
        <v>12.23</v>
      </c>
      <c r="AY86">
        <v>12.71663</v>
      </c>
      <c r="AZ86">
        <v>60.730950999999997</v>
      </c>
      <c r="BA86">
        <v>-18.205514999999998</v>
      </c>
      <c r="BB86">
        <v>-4.8388210000000003</v>
      </c>
      <c r="BC86">
        <v>18.205514999999998</v>
      </c>
      <c r="BD86">
        <v>25.560829999999999</v>
      </c>
      <c r="BE86">
        <v>149.90920199999999</v>
      </c>
      <c r="BF86">
        <v>-12.075763</v>
      </c>
      <c r="BG86">
        <v>3.1255329999999999</v>
      </c>
      <c r="BH86">
        <v>12.075763</v>
      </c>
    </row>
    <row r="87" spans="1:60" x14ac:dyDescent="0.25">
      <c r="A87" t="s">
        <v>226</v>
      </c>
      <c r="B87" t="s">
        <v>227</v>
      </c>
      <c r="C87">
        <v>20</v>
      </c>
      <c r="D87" t="s">
        <v>148</v>
      </c>
      <c r="E87" cm="1">
        <f t="array" ref="E87">_xlfn.SWITCH(D87,"QPSK",0.1,"16QAM",0.25,"64QAM",0.5,"256QAM",0.8,"1024QAM",1,"")</f>
        <v>0.25</v>
      </c>
      <c r="F87" cm="1">
        <f t="array" ref="F87">_xlfn.SWITCH(D87,"QPSK",0.05,"16QAM",0.15,"64QAM",0.4,"256QAM",0.75,"1024QAM",1,"")</f>
        <v>0.15</v>
      </c>
      <c r="G87" t="s">
        <v>61</v>
      </c>
      <c r="H87">
        <v>4</v>
      </c>
      <c r="I87" t="s">
        <v>62</v>
      </c>
      <c r="J87">
        <v>2</v>
      </c>
      <c r="K87">
        <v>2</v>
      </c>
      <c r="L87" t="s">
        <v>63</v>
      </c>
      <c r="M87">
        <v>2</v>
      </c>
      <c r="N87">
        <v>0.47849999999999998</v>
      </c>
      <c r="O87">
        <v>0.48220000000000002</v>
      </c>
      <c r="P87">
        <v>10000</v>
      </c>
      <c r="Q87">
        <v>9908</v>
      </c>
      <c r="R87">
        <v>92</v>
      </c>
      <c r="S87">
        <v>1.01</v>
      </c>
      <c r="T87">
        <v>0.01</v>
      </c>
      <c r="W87">
        <v>9907</v>
      </c>
      <c r="X87">
        <v>0</v>
      </c>
      <c r="Y87">
        <v>0.93</v>
      </c>
      <c r="Z87">
        <v>0.01</v>
      </c>
      <c r="AB87">
        <v>240720000</v>
      </c>
      <c r="AC87">
        <v>238481304</v>
      </c>
      <c r="AD87">
        <v>240720000</v>
      </c>
      <c r="AE87">
        <v>238481304</v>
      </c>
      <c r="AG87">
        <v>99.99</v>
      </c>
      <c r="AH87">
        <v>99.07</v>
      </c>
      <c r="AI87">
        <v>1</v>
      </c>
      <c r="AJ87">
        <v>1.009285</v>
      </c>
      <c r="AK87">
        <v>0.47770000000000001</v>
      </c>
      <c r="AL87">
        <v>23.85</v>
      </c>
      <c r="AM87">
        <v>23848</v>
      </c>
      <c r="AN87">
        <v>2.5478999999999998</v>
      </c>
      <c r="AO87">
        <v>30</v>
      </c>
      <c r="AP87">
        <v>21.87</v>
      </c>
      <c r="AQ87">
        <v>0.72</v>
      </c>
      <c r="AR87">
        <v>-6.11</v>
      </c>
      <c r="AS87">
        <v>1.94</v>
      </c>
      <c r="AT87">
        <v>25.93</v>
      </c>
      <c r="AU87">
        <v>6666.69</v>
      </c>
      <c r="AV87">
        <v>35.81</v>
      </c>
      <c r="AW87">
        <v>18.22</v>
      </c>
      <c r="AX87">
        <v>12.23</v>
      </c>
      <c r="AY87">
        <v>12.710463000000001</v>
      </c>
      <c r="AZ87">
        <v>60.525767000000002</v>
      </c>
      <c r="BA87">
        <v>-18.209537999999998</v>
      </c>
      <c r="BB87">
        <v>-4.8707909999999996</v>
      </c>
      <c r="BC87">
        <v>18.209537999999998</v>
      </c>
      <c r="BD87">
        <v>25.558941999999998</v>
      </c>
      <c r="BE87">
        <v>149.59446399999999</v>
      </c>
      <c r="BF87">
        <v>-12.076620999999999</v>
      </c>
      <c r="BG87">
        <v>3.1129129999999998</v>
      </c>
      <c r="BH87">
        <v>12.076620999999999</v>
      </c>
    </row>
    <row r="88" spans="1:60" x14ac:dyDescent="0.25">
      <c r="A88" t="s">
        <v>228</v>
      </c>
      <c r="B88" t="s">
        <v>229</v>
      </c>
      <c r="C88">
        <v>20</v>
      </c>
      <c r="D88" t="s">
        <v>148</v>
      </c>
      <c r="E88" cm="1">
        <f t="array" ref="E88">_xlfn.SWITCH(D88,"QPSK",0.1,"16QAM",0.25,"64QAM",0.5,"256QAM",0.8,"1024QAM",1,"")</f>
        <v>0.25</v>
      </c>
      <c r="F88" cm="1">
        <f t="array" ref="F88">_xlfn.SWITCH(D88,"QPSK",0.05,"16QAM",0.15,"64QAM",0.4,"256QAM",0.75,"1024QAM",1,"")</f>
        <v>0.15</v>
      </c>
      <c r="G88" t="s">
        <v>61</v>
      </c>
      <c r="H88">
        <v>8</v>
      </c>
      <c r="I88" t="s">
        <v>62</v>
      </c>
      <c r="J88">
        <v>2</v>
      </c>
      <c r="K88">
        <v>2</v>
      </c>
      <c r="L88" t="s">
        <v>63</v>
      </c>
      <c r="M88">
        <v>2</v>
      </c>
      <c r="N88">
        <v>0.47849999999999998</v>
      </c>
      <c r="O88">
        <v>0.48220000000000002</v>
      </c>
      <c r="P88">
        <v>10000</v>
      </c>
      <c r="Q88">
        <v>9895</v>
      </c>
      <c r="R88">
        <v>105</v>
      </c>
      <c r="S88">
        <v>1.01</v>
      </c>
      <c r="T88">
        <v>0.01</v>
      </c>
      <c r="W88">
        <v>9895</v>
      </c>
      <c r="X88">
        <v>0</v>
      </c>
      <c r="Y88">
        <v>1.05</v>
      </c>
      <c r="Z88">
        <v>0</v>
      </c>
      <c r="AB88">
        <v>240720000</v>
      </c>
      <c r="AC88">
        <v>238192440</v>
      </c>
      <c r="AD88">
        <v>240720000</v>
      </c>
      <c r="AE88">
        <v>238192440</v>
      </c>
      <c r="AG88">
        <v>100</v>
      </c>
      <c r="AH88">
        <v>98.95</v>
      </c>
      <c r="AI88">
        <v>1</v>
      </c>
      <c r="AJ88">
        <v>1.0106109999999999</v>
      </c>
      <c r="AK88">
        <v>0.47710000000000002</v>
      </c>
      <c r="AL88">
        <v>23.82</v>
      </c>
      <c r="AM88">
        <v>23819</v>
      </c>
      <c r="AN88">
        <v>2.5448</v>
      </c>
      <c r="AO88">
        <v>30</v>
      </c>
      <c r="AP88">
        <v>21.87</v>
      </c>
      <c r="AQ88">
        <v>0.72</v>
      </c>
      <c r="AR88">
        <v>-6.11</v>
      </c>
      <c r="AS88">
        <v>1.94</v>
      </c>
      <c r="AT88">
        <v>25.78</v>
      </c>
      <c r="AU88">
        <v>6666.69</v>
      </c>
      <c r="AV88">
        <v>35.81</v>
      </c>
      <c r="AW88">
        <v>18.22</v>
      </c>
      <c r="AX88">
        <v>12.23</v>
      </c>
      <c r="AY88">
        <v>12.711359</v>
      </c>
      <c r="AZ88">
        <v>60.577311999999999</v>
      </c>
      <c r="BA88">
        <v>-18.207953</v>
      </c>
      <c r="BB88">
        <v>-4.8587619999999996</v>
      </c>
      <c r="BC88">
        <v>18.207953</v>
      </c>
      <c r="BD88">
        <v>25.563782</v>
      </c>
      <c r="BE88">
        <v>149.52818300000001</v>
      </c>
      <c r="BF88">
        <v>-12.074965000000001</v>
      </c>
      <c r="BG88">
        <v>3.109969</v>
      </c>
      <c r="BH88">
        <v>12.074965000000001</v>
      </c>
    </row>
    <row r="89" spans="1:60" x14ac:dyDescent="0.25">
      <c r="A89" t="s">
        <v>230</v>
      </c>
      <c r="B89" t="s">
        <v>231</v>
      </c>
      <c r="C89">
        <v>22</v>
      </c>
      <c r="D89" t="s">
        <v>148</v>
      </c>
      <c r="E89" cm="1">
        <f t="array" ref="E89">_xlfn.SWITCH(D89,"QPSK",0.1,"16QAM",0.25,"64QAM",0.5,"256QAM",0.8,"1024QAM",1,"")</f>
        <v>0.25</v>
      </c>
      <c r="F89" cm="1">
        <f t="array" ref="F89">_xlfn.SWITCH(D89,"QPSK",0.05,"16QAM",0.15,"64QAM",0.4,"256QAM",0.75,"1024QAM",1,"")</f>
        <v>0.15</v>
      </c>
      <c r="G89" t="s">
        <v>61</v>
      </c>
      <c r="H89">
        <v>1</v>
      </c>
      <c r="I89" t="s">
        <v>62</v>
      </c>
      <c r="J89">
        <v>2</v>
      </c>
      <c r="K89">
        <v>2</v>
      </c>
      <c r="L89" t="s">
        <v>63</v>
      </c>
      <c r="M89">
        <v>2</v>
      </c>
      <c r="N89">
        <v>0.47849999999999998</v>
      </c>
      <c r="O89">
        <v>0.48220000000000002</v>
      </c>
      <c r="P89">
        <v>10000</v>
      </c>
      <c r="Q89">
        <v>9975</v>
      </c>
      <c r="R89">
        <v>25</v>
      </c>
      <c r="S89">
        <v>1</v>
      </c>
      <c r="T89">
        <v>0</v>
      </c>
      <c r="W89">
        <v>9975</v>
      </c>
      <c r="X89">
        <v>0</v>
      </c>
      <c r="Y89">
        <v>0.25</v>
      </c>
      <c r="Z89">
        <v>0</v>
      </c>
      <c r="AB89">
        <v>240720000</v>
      </c>
      <c r="AC89">
        <v>240118200</v>
      </c>
      <c r="AD89">
        <v>240720000</v>
      </c>
      <c r="AE89">
        <v>240118200</v>
      </c>
      <c r="AG89">
        <v>100</v>
      </c>
      <c r="AH89">
        <v>99.75</v>
      </c>
      <c r="AI89">
        <v>1</v>
      </c>
      <c r="AJ89">
        <v>1.0025059999999999</v>
      </c>
      <c r="AK89">
        <v>0.48099999999999998</v>
      </c>
      <c r="AL89">
        <v>24.01</v>
      </c>
      <c r="AM89">
        <v>24012</v>
      </c>
      <c r="AN89">
        <v>2.5653999999999999</v>
      </c>
      <c r="AO89">
        <v>30</v>
      </c>
      <c r="AP89">
        <v>21.87</v>
      </c>
      <c r="AQ89">
        <v>0.72</v>
      </c>
      <c r="AR89">
        <v>-6.12</v>
      </c>
      <c r="AS89">
        <v>1.94</v>
      </c>
      <c r="AT89">
        <v>27.99</v>
      </c>
      <c r="AU89">
        <v>6666.69</v>
      </c>
      <c r="AV89">
        <v>35.81</v>
      </c>
      <c r="AW89">
        <v>19.64</v>
      </c>
      <c r="AX89">
        <v>13.09</v>
      </c>
      <c r="AY89">
        <v>10.838047</v>
      </c>
      <c r="AZ89">
        <v>54.013570000000001</v>
      </c>
      <c r="BA89">
        <v>-19.630001</v>
      </c>
      <c r="BB89">
        <v>-5.8657789999999999</v>
      </c>
      <c r="BC89">
        <v>19.630001</v>
      </c>
      <c r="BD89">
        <v>23.182138999999999</v>
      </c>
      <c r="BE89">
        <v>141.28432699999999</v>
      </c>
      <c r="BF89">
        <v>-12.978933</v>
      </c>
      <c r="BG89">
        <v>2.52719</v>
      </c>
      <c r="BH89">
        <v>12.978933</v>
      </c>
    </row>
    <row r="90" spans="1:60" x14ac:dyDescent="0.25">
      <c r="A90" t="s">
        <v>232</v>
      </c>
      <c r="B90" t="s">
        <v>233</v>
      </c>
      <c r="C90">
        <v>22</v>
      </c>
      <c r="D90" t="s">
        <v>148</v>
      </c>
      <c r="E90" cm="1">
        <f t="array" ref="E90">_xlfn.SWITCH(D90,"QPSK",0.1,"16QAM",0.25,"64QAM",0.5,"256QAM",0.8,"1024QAM",1,"")</f>
        <v>0.25</v>
      </c>
      <c r="F90" cm="1">
        <f t="array" ref="F90">_xlfn.SWITCH(D90,"QPSK",0.05,"16QAM",0.15,"64QAM",0.4,"256QAM",0.75,"1024QAM",1,"")</f>
        <v>0.15</v>
      </c>
      <c r="G90" t="s">
        <v>61</v>
      </c>
      <c r="H90">
        <v>4</v>
      </c>
      <c r="I90" t="s">
        <v>62</v>
      </c>
      <c r="J90">
        <v>2</v>
      </c>
      <c r="K90">
        <v>2</v>
      </c>
      <c r="L90" t="s">
        <v>63</v>
      </c>
      <c r="M90">
        <v>2</v>
      </c>
      <c r="N90">
        <v>0.47849999999999998</v>
      </c>
      <c r="O90">
        <v>0.48220000000000002</v>
      </c>
      <c r="P90">
        <v>10000</v>
      </c>
      <c r="Q90">
        <v>9957</v>
      </c>
      <c r="R90">
        <v>43</v>
      </c>
      <c r="S90">
        <v>1</v>
      </c>
      <c r="T90">
        <v>0</v>
      </c>
      <c r="W90">
        <v>9956</v>
      </c>
      <c r="X90">
        <v>0</v>
      </c>
      <c r="Y90">
        <v>0.44</v>
      </c>
      <c r="Z90">
        <v>0.01</v>
      </c>
      <c r="AB90">
        <v>240720000</v>
      </c>
      <c r="AC90">
        <v>239660832</v>
      </c>
      <c r="AD90">
        <v>240720000</v>
      </c>
      <c r="AE90">
        <v>239660832</v>
      </c>
      <c r="AG90">
        <v>99.99</v>
      </c>
      <c r="AH90">
        <v>99.56</v>
      </c>
      <c r="AI90">
        <v>1</v>
      </c>
      <c r="AJ90">
        <v>1.004319</v>
      </c>
      <c r="AK90">
        <v>0.48010000000000003</v>
      </c>
      <c r="AL90">
        <v>23.97</v>
      </c>
      <c r="AM90">
        <v>23966</v>
      </c>
      <c r="AN90">
        <v>2.5605000000000002</v>
      </c>
      <c r="AO90">
        <v>30</v>
      </c>
      <c r="AP90">
        <v>21.87</v>
      </c>
      <c r="AQ90">
        <v>0.72</v>
      </c>
      <c r="AR90">
        <v>-6.12</v>
      </c>
      <c r="AS90">
        <v>1.94</v>
      </c>
      <c r="AT90">
        <v>27.94</v>
      </c>
      <c r="AU90">
        <v>6666.69</v>
      </c>
      <c r="AV90">
        <v>35.81</v>
      </c>
      <c r="AW90">
        <v>19.64</v>
      </c>
      <c r="AX90">
        <v>13.09</v>
      </c>
      <c r="AY90">
        <v>10.835279</v>
      </c>
      <c r="AZ90">
        <v>53.785370999999998</v>
      </c>
      <c r="BA90">
        <v>-19.632812999999999</v>
      </c>
      <c r="BB90">
        <v>-5.9024369999999999</v>
      </c>
      <c r="BC90">
        <v>19.632812999999999</v>
      </c>
      <c r="BD90">
        <v>23.184557999999999</v>
      </c>
      <c r="BE90">
        <v>141.09822600000001</v>
      </c>
      <c r="BF90">
        <v>-12.978164</v>
      </c>
      <c r="BG90">
        <v>2.5228350000000002</v>
      </c>
      <c r="BH90">
        <v>12.978164</v>
      </c>
    </row>
    <row r="91" spans="1:60" x14ac:dyDescent="0.25">
      <c r="A91" t="s">
        <v>234</v>
      </c>
      <c r="B91" t="s">
        <v>235</v>
      </c>
      <c r="C91">
        <v>22</v>
      </c>
      <c r="D91" t="s">
        <v>148</v>
      </c>
      <c r="E91" cm="1">
        <f t="array" ref="E91">_xlfn.SWITCH(D91,"QPSK",0.1,"16QAM",0.25,"64QAM",0.5,"256QAM",0.8,"1024QAM",1,"")</f>
        <v>0.25</v>
      </c>
      <c r="F91" cm="1">
        <f t="array" ref="F91">_xlfn.SWITCH(D91,"QPSK",0.05,"16QAM",0.15,"64QAM",0.4,"256QAM",0.75,"1024QAM",1,"")</f>
        <v>0.15</v>
      </c>
      <c r="G91" t="s">
        <v>61</v>
      </c>
      <c r="H91">
        <v>8</v>
      </c>
      <c r="I91" t="s">
        <v>62</v>
      </c>
      <c r="J91">
        <v>2</v>
      </c>
      <c r="K91">
        <v>2</v>
      </c>
      <c r="L91" t="s">
        <v>63</v>
      </c>
      <c r="M91">
        <v>2</v>
      </c>
      <c r="N91">
        <v>0.47849999999999998</v>
      </c>
      <c r="O91">
        <v>0.48220000000000002</v>
      </c>
      <c r="P91">
        <v>10000</v>
      </c>
      <c r="Q91">
        <v>9959</v>
      </c>
      <c r="R91">
        <v>41</v>
      </c>
      <c r="S91">
        <v>1</v>
      </c>
      <c r="T91">
        <v>0</v>
      </c>
      <c r="W91">
        <v>9955</v>
      </c>
      <c r="X91">
        <v>0</v>
      </c>
      <c r="Y91">
        <v>0.45</v>
      </c>
      <c r="Z91">
        <v>0.04</v>
      </c>
      <c r="AB91">
        <v>240720000</v>
      </c>
      <c r="AC91">
        <v>239636760</v>
      </c>
      <c r="AD91">
        <v>240720000</v>
      </c>
      <c r="AE91">
        <v>239636760</v>
      </c>
      <c r="AG91">
        <v>99.96</v>
      </c>
      <c r="AH91">
        <v>99.55</v>
      </c>
      <c r="AI91">
        <v>1</v>
      </c>
      <c r="AJ91">
        <v>1.0041169999999999</v>
      </c>
      <c r="AK91">
        <v>0.48</v>
      </c>
      <c r="AL91">
        <v>23.96</v>
      </c>
      <c r="AM91">
        <v>23964</v>
      </c>
      <c r="AN91">
        <v>2.5602</v>
      </c>
      <c r="AO91">
        <v>30</v>
      </c>
      <c r="AP91">
        <v>21.87</v>
      </c>
      <c r="AQ91">
        <v>0.72</v>
      </c>
      <c r="AR91">
        <v>-6.12</v>
      </c>
      <c r="AS91">
        <v>1.94</v>
      </c>
      <c r="AT91">
        <v>27.97</v>
      </c>
      <c r="AU91">
        <v>6666.69</v>
      </c>
      <c r="AV91">
        <v>35.81</v>
      </c>
      <c r="AW91">
        <v>19.64</v>
      </c>
      <c r="AX91">
        <v>13.09</v>
      </c>
      <c r="AY91">
        <v>10.838475000000001</v>
      </c>
      <c r="AZ91">
        <v>53.832968000000001</v>
      </c>
      <c r="BA91">
        <v>-19.629553999999999</v>
      </c>
      <c r="BB91">
        <v>-5.9007839999999998</v>
      </c>
      <c r="BC91">
        <v>19.629553999999999</v>
      </c>
      <c r="BD91">
        <v>23.180731000000002</v>
      </c>
      <c r="BE91">
        <v>141.10853499999999</v>
      </c>
      <c r="BF91">
        <v>-12.978828</v>
      </c>
      <c r="BG91">
        <v>2.5316450000000001</v>
      </c>
      <c r="BH91">
        <v>12.978828</v>
      </c>
    </row>
    <row r="92" spans="1:60" x14ac:dyDescent="0.25">
      <c r="A92" t="s">
        <v>236</v>
      </c>
      <c r="B92" t="s">
        <v>237</v>
      </c>
      <c r="C92">
        <v>24</v>
      </c>
      <c r="D92" t="s">
        <v>148</v>
      </c>
      <c r="E92" cm="1">
        <f t="array" ref="E92">_xlfn.SWITCH(D92,"QPSK",0.1,"16QAM",0.25,"64QAM",0.5,"256QAM",0.8,"1024QAM",1,"")</f>
        <v>0.25</v>
      </c>
      <c r="F92" cm="1">
        <f t="array" ref="F92">_xlfn.SWITCH(D92,"QPSK",0.05,"16QAM",0.15,"64QAM",0.4,"256QAM",0.75,"1024QAM",1,"")</f>
        <v>0.15</v>
      </c>
      <c r="G92" t="s">
        <v>61</v>
      </c>
      <c r="H92">
        <v>1</v>
      </c>
      <c r="I92" t="s">
        <v>62</v>
      </c>
      <c r="J92">
        <v>2</v>
      </c>
      <c r="K92">
        <v>2</v>
      </c>
      <c r="L92" t="s">
        <v>63</v>
      </c>
      <c r="M92">
        <v>2</v>
      </c>
      <c r="N92">
        <v>0.47849999999999998</v>
      </c>
      <c r="O92">
        <v>0.48220000000000002</v>
      </c>
      <c r="P92">
        <v>10000</v>
      </c>
      <c r="Q92">
        <v>9986</v>
      </c>
      <c r="R92">
        <v>14</v>
      </c>
      <c r="S92">
        <v>1</v>
      </c>
      <c r="T92">
        <v>0</v>
      </c>
      <c r="W92">
        <v>9986</v>
      </c>
      <c r="X92">
        <v>0</v>
      </c>
      <c r="Y92">
        <v>0.14000000000000001</v>
      </c>
      <c r="Z92">
        <v>0</v>
      </c>
      <c r="AB92">
        <v>240720000</v>
      </c>
      <c r="AC92">
        <v>240382992</v>
      </c>
      <c r="AD92">
        <v>240720000</v>
      </c>
      <c r="AE92">
        <v>240382992</v>
      </c>
      <c r="AG92">
        <v>100</v>
      </c>
      <c r="AH92">
        <v>99.86</v>
      </c>
      <c r="AI92">
        <v>1</v>
      </c>
      <c r="AJ92">
        <v>1.0014019999999999</v>
      </c>
      <c r="AK92">
        <v>0.48149999999999998</v>
      </c>
      <c r="AL92">
        <v>24.04</v>
      </c>
      <c r="AM92">
        <v>24038</v>
      </c>
      <c r="AN92">
        <v>2.5682</v>
      </c>
      <c r="AO92">
        <v>30</v>
      </c>
      <c r="AP92">
        <v>21.87</v>
      </c>
      <c r="AQ92">
        <v>0.72</v>
      </c>
      <c r="AR92">
        <v>-6.13</v>
      </c>
      <c r="AS92">
        <v>1.94</v>
      </c>
      <c r="AT92">
        <v>31.46</v>
      </c>
      <c r="AU92">
        <v>6666.69</v>
      </c>
      <c r="AV92">
        <v>35.81</v>
      </c>
      <c r="AW92">
        <v>21.07</v>
      </c>
      <c r="AX92">
        <v>14.03</v>
      </c>
      <c r="AY92">
        <v>9.2272210000000001</v>
      </c>
      <c r="AZ92">
        <v>48.206100999999997</v>
      </c>
      <c r="BA92">
        <v>-21.064882999999998</v>
      </c>
      <c r="BB92">
        <v>-6.9038399999999998</v>
      </c>
      <c r="BC92">
        <v>21.064882999999998</v>
      </c>
      <c r="BD92">
        <v>20.851040000000001</v>
      </c>
      <c r="BE92">
        <v>132.04916600000001</v>
      </c>
      <c r="BF92">
        <v>-13.951911000000001</v>
      </c>
      <c r="BG92">
        <v>1.8716379999999999</v>
      </c>
      <c r="BH92">
        <v>13.951911000000001</v>
      </c>
    </row>
    <row r="93" spans="1:60" x14ac:dyDescent="0.25">
      <c r="A93" t="s">
        <v>238</v>
      </c>
      <c r="B93" t="s">
        <v>239</v>
      </c>
      <c r="C93">
        <v>24</v>
      </c>
      <c r="D93" t="s">
        <v>148</v>
      </c>
      <c r="E93" cm="1">
        <f t="array" ref="E93">_xlfn.SWITCH(D93,"QPSK",0.1,"16QAM",0.25,"64QAM",0.5,"256QAM",0.8,"1024QAM",1,"")</f>
        <v>0.25</v>
      </c>
      <c r="F93" cm="1">
        <f t="array" ref="F93">_xlfn.SWITCH(D93,"QPSK",0.05,"16QAM",0.15,"64QAM",0.4,"256QAM",0.75,"1024QAM",1,"")</f>
        <v>0.15</v>
      </c>
      <c r="G93" t="s">
        <v>61</v>
      </c>
      <c r="H93">
        <v>4</v>
      </c>
      <c r="I93" t="s">
        <v>62</v>
      </c>
      <c r="J93">
        <v>2</v>
      </c>
      <c r="K93">
        <v>2</v>
      </c>
      <c r="L93" t="s">
        <v>63</v>
      </c>
      <c r="M93">
        <v>2</v>
      </c>
      <c r="N93">
        <v>0.47849999999999998</v>
      </c>
      <c r="O93">
        <v>0.48220000000000002</v>
      </c>
      <c r="P93">
        <v>10000</v>
      </c>
      <c r="Q93">
        <v>9985</v>
      </c>
      <c r="R93">
        <v>15</v>
      </c>
      <c r="S93">
        <v>1</v>
      </c>
      <c r="T93">
        <v>0</v>
      </c>
      <c r="W93">
        <v>9985</v>
      </c>
      <c r="X93">
        <v>0</v>
      </c>
      <c r="Y93">
        <v>0.15</v>
      </c>
      <c r="Z93">
        <v>0</v>
      </c>
      <c r="AB93">
        <v>240720000</v>
      </c>
      <c r="AC93">
        <v>240358920</v>
      </c>
      <c r="AD93">
        <v>240720000</v>
      </c>
      <c r="AE93">
        <v>240358920</v>
      </c>
      <c r="AG93">
        <v>100</v>
      </c>
      <c r="AH93">
        <v>99.85</v>
      </c>
      <c r="AI93">
        <v>1</v>
      </c>
      <c r="AJ93">
        <v>1.0015019999999999</v>
      </c>
      <c r="AK93">
        <v>0.48149999999999998</v>
      </c>
      <c r="AL93">
        <v>24.04</v>
      </c>
      <c r="AM93">
        <v>24036</v>
      </c>
      <c r="AN93">
        <v>2.5678999999999998</v>
      </c>
      <c r="AO93">
        <v>30</v>
      </c>
      <c r="AP93">
        <v>21.87</v>
      </c>
      <c r="AQ93">
        <v>0.72</v>
      </c>
      <c r="AR93">
        <v>-6.13</v>
      </c>
      <c r="AS93">
        <v>1.94</v>
      </c>
      <c r="AT93">
        <v>31.61</v>
      </c>
      <c r="AU93">
        <v>6666.69</v>
      </c>
      <c r="AV93">
        <v>35.81</v>
      </c>
      <c r="AW93">
        <v>21.07</v>
      </c>
      <c r="AX93">
        <v>14.03</v>
      </c>
      <c r="AY93">
        <v>9.2291640000000008</v>
      </c>
      <c r="AZ93">
        <v>48.261715000000002</v>
      </c>
      <c r="BA93">
        <v>-21.063082999999999</v>
      </c>
      <c r="BB93">
        <v>-6.8961639999999997</v>
      </c>
      <c r="BC93">
        <v>21.063082999999999</v>
      </c>
      <c r="BD93">
        <v>20.856718000000001</v>
      </c>
      <c r="BE93">
        <v>132.548743</v>
      </c>
      <c r="BF93">
        <v>-13.949652</v>
      </c>
      <c r="BG93">
        <v>1.8941950000000001</v>
      </c>
      <c r="BH93">
        <v>13.949652</v>
      </c>
    </row>
    <row r="94" spans="1:60" x14ac:dyDescent="0.25">
      <c r="A94" t="s">
        <v>240</v>
      </c>
      <c r="B94" t="s">
        <v>241</v>
      </c>
      <c r="C94">
        <v>24</v>
      </c>
      <c r="D94" t="s">
        <v>148</v>
      </c>
      <c r="E94" cm="1">
        <f t="array" ref="E94">_xlfn.SWITCH(D94,"QPSK",0.1,"16QAM",0.25,"64QAM",0.5,"256QAM",0.8,"1024QAM",1,"")</f>
        <v>0.25</v>
      </c>
      <c r="F94" cm="1">
        <f t="array" ref="F94">_xlfn.SWITCH(D94,"QPSK",0.05,"16QAM",0.15,"64QAM",0.4,"256QAM",0.75,"1024QAM",1,"")</f>
        <v>0.15</v>
      </c>
      <c r="G94" t="s">
        <v>61</v>
      </c>
      <c r="H94">
        <v>8</v>
      </c>
      <c r="I94" t="s">
        <v>62</v>
      </c>
      <c r="J94">
        <v>2</v>
      </c>
      <c r="K94">
        <v>2</v>
      </c>
      <c r="L94" t="s">
        <v>63</v>
      </c>
      <c r="M94">
        <v>2</v>
      </c>
      <c r="N94">
        <v>0.47849999999999998</v>
      </c>
      <c r="O94">
        <v>0.48220000000000002</v>
      </c>
      <c r="P94">
        <v>10000</v>
      </c>
      <c r="Q94">
        <v>9979</v>
      </c>
      <c r="R94">
        <v>21</v>
      </c>
      <c r="S94">
        <v>1</v>
      </c>
      <c r="T94">
        <v>0</v>
      </c>
      <c r="W94">
        <v>9979</v>
      </c>
      <c r="X94">
        <v>0</v>
      </c>
      <c r="Y94">
        <v>0.21</v>
      </c>
      <c r="Z94">
        <v>0</v>
      </c>
      <c r="AB94">
        <v>240720000</v>
      </c>
      <c r="AC94">
        <v>240214488</v>
      </c>
      <c r="AD94">
        <v>240720000</v>
      </c>
      <c r="AE94">
        <v>240214488</v>
      </c>
      <c r="AG94">
        <v>100</v>
      </c>
      <c r="AH94">
        <v>99.79</v>
      </c>
      <c r="AI94">
        <v>1</v>
      </c>
      <c r="AJ94">
        <v>1.0021040000000001</v>
      </c>
      <c r="AK94">
        <v>0.48120000000000002</v>
      </c>
      <c r="AL94">
        <v>24.02</v>
      </c>
      <c r="AM94">
        <v>24021</v>
      </c>
      <c r="AN94">
        <v>2.5663999999999998</v>
      </c>
      <c r="AO94">
        <v>30</v>
      </c>
      <c r="AP94">
        <v>21.87</v>
      </c>
      <c r="AQ94">
        <v>0.72</v>
      </c>
      <c r="AR94">
        <v>-6.13</v>
      </c>
      <c r="AS94">
        <v>1.94</v>
      </c>
      <c r="AT94">
        <v>31.58</v>
      </c>
      <c r="AU94">
        <v>6666.69</v>
      </c>
      <c r="AV94">
        <v>35.81</v>
      </c>
      <c r="AW94">
        <v>21.07</v>
      </c>
      <c r="AX94">
        <v>14.03</v>
      </c>
      <c r="AY94">
        <v>9.2289180000000002</v>
      </c>
      <c r="AZ94">
        <v>48.171329999999998</v>
      </c>
      <c r="BA94">
        <v>-21.063963000000001</v>
      </c>
      <c r="BB94">
        <v>-6.91953</v>
      </c>
      <c r="BC94">
        <v>21.063963000000001</v>
      </c>
      <c r="BD94">
        <v>20.852387</v>
      </c>
      <c r="BE94">
        <v>132.10517200000001</v>
      </c>
      <c r="BF94">
        <v>-13.951938999999999</v>
      </c>
      <c r="BG94">
        <v>1.8778360000000001</v>
      </c>
      <c r="BH94">
        <v>13.951938999999999</v>
      </c>
    </row>
    <row r="95" spans="1:60" x14ac:dyDescent="0.25">
      <c r="A95" t="s">
        <v>242</v>
      </c>
      <c r="B95" t="s">
        <v>243</v>
      </c>
      <c r="C95">
        <v>4</v>
      </c>
      <c r="D95" t="s">
        <v>148</v>
      </c>
      <c r="E95" cm="1">
        <f t="array" ref="E95">_xlfn.SWITCH(D95,"QPSK",0.1,"16QAM",0.25,"64QAM",0.5,"256QAM",0.8,"1024QAM",1,"")</f>
        <v>0.25</v>
      </c>
      <c r="F95" cm="1">
        <f t="array" ref="F95">_xlfn.SWITCH(D95,"QPSK",0.05,"16QAM",0.15,"64QAM",0.4,"256QAM",0.75,"1024QAM",1,"")</f>
        <v>0.15</v>
      </c>
      <c r="G95" t="s">
        <v>61</v>
      </c>
      <c r="H95">
        <v>16</v>
      </c>
      <c r="I95" t="s">
        <v>62</v>
      </c>
      <c r="J95">
        <v>2</v>
      </c>
      <c r="K95">
        <v>2</v>
      </c>
      <c r="L95" t="s">
        <v>63</v>
      </c>
      <c r="M95">
        <v>2</v>
      </c>
      <c r="N95">
        <v>0.47849999999999998</v>
      </c>
      <c r="O95">
        <v>0.48220000000000002</v>
      </c>
      <c r="P95">
        <v>5000</v>
      </c>
      <c r="Q95">
        <v>1598</v>
      </c>
      <c r="R95">
        <v>3402</v>
      </c>
      <c r="S95">
        <v>3.13</v>
      </c>
      <c r="T95">
        <v>212.89</v>
      </c>
      <c r="W95">
        <v>1268</v>
      </c>
      <c r="X95">
        <v>317</v>
      </c>
      <c r="Y95">
        <v>74.64</v>
      </c>
      <c r="Z95">
        <v>20.65</v>
      </c>
      <c r="AB95">
        <v>120360000</v>
      </c>
      <c r="AC95">
        <v>30523296</v>
      </c>
      <c r="AD95">
        <v>120360000</v>
      </c>
      <c r="AE95">
        <v>30523296</v>
      </c>
      <c r="AF95">
        <v>249600000</v>
      </c>
      <c r="AG95">
        <v>79.349999999999994</v>
      </c>
      <c r="AH95">
        <v>25.36</v>
      </c>
      <c r="AI95">
        <v>1</v>
      </c>
      <c r="AJ95">
        <v>3.128911</v>
      </c>
      <c r="AK95">
        <v>0.12230000000000001</v>
      </c>
      <c r="AL95">
        <v>6.1</v>
      </c>
      <c r="AM95">
        <v>6105</v>
      </c>
      <c r="AN95">
        <v>0.6522</v>
      </c>
      <c r="AO95">
        <v>30</v>
      </c>
      <c r="AP95">
        <v>21.87</v>
      </c>
      <c r="AQ95">
        <v>0.72</v>
      </c>
      <c r="AR95">
        <v>-5.89</v>
      </c>
      <c r="AS95">
        <v>1.92</v>
      </c>
      <c r="AT95">
        <v>15.99</v>
      </c>
      <c r="AU95">
        <v>6666.69</v>
      </c>
      <c r="AV95">
        <v>35.81</v>
      </c>
      <c r="AW95">
        <v>10.43</v>
      </c>
      <c r="AX95">
        <v>7.51</v>
      </c>
      <c r="AY95">
        <v>30.879905999999998</v>
      </c>
      <c r="AZ95">
        <v>124.386262</v>
      </c>
      <c r="BA95">
        <v>-10.234349999999999</v>
      </c>
      <c r="BB95">
        <v>1.726264</v>
      </c>
      <c r="BC95">
        <v>10.234349999999999</v>
      </c>
      <c r="BD95">
        <v>40.417085999999998</v>
      </c>
      <c r="BE95">
        <v>228.57137399999999</v>
      </c>
      <c r="BF95">
        <v>-7.9154260000000001</v>
      </c>
      <c r="BG95">
        <v>6.9102420000000002</v>
      </c>
      <c r="BH95">
        <v>7.9154260000000001</v>
      </c>
    </row>
    <row r="96" spans="1:60" x14ac:dyDescent="0.25">
      <c r="A96" t="s">
        <v>244</v>
      </c>
      <c r="B96" t="s">
        <v>245</v>
      </c>
      <c r="C96">
        <v>4</v>
      </c>
      <c r="D96" t="s">
        <v>148</v>
      </c>
      <c r="E96" cm="1">
        <f t="array" ref="E96">_xlfn.SWITCH(D96,"QPSK",0.1,"16QAM",0.25,"64QAM",0.5,"256QAM",0.8,"1024QAM",1,"")</f>
        <v>0.25</v>
      </c>
      <c r="F96" cm="1">
        <f t="array" ref="F96">_xlfn.SWITCH(D96,"QPSK",0.05,"16QAM",0.15,"64QAM",0.4,"256QAM",0.75,"1024QAM",1,"")</f>
        <v>0.15</v>
      </c>
      <c r="G96" t="s">
        <v>61</v>
      </c>
      <c r="H96">
        <v>1</v>
      </c>
      <c r="I96" t="s">
        <v>62</v>
      </c>
      <c r="J96">
        <v>2</v>
      </c>
      <c r="K96">
        <v>2</v>
      </c>
      <c r="L96" t="s">
        <v>63</v>
      </c>
      <c r="M96">
        <v>2</v>
      </c>
      <c r="N96">
        <v>0.47849999999999998</v>
      </c>
      <c r="O96">
        <v>0.48220000000000002</v>
      </c>
      <c r="P96">
        <v>10000</v>
      </c>
      <c r="Q96">
        <v>3204</v>
      </c>
      <c r="R96">
        <v>6796</v>
      </c>
      <c r="S96">
        <v>3.12</v>
      </c>
      <c r="T96">
        <v>2.12</v>
      </c>
      <c r="W96">
        <v>2330</v>
      </c>
      <c r="X96">
        <v>0</v>
      </c>
      <c r="Y96">
        <v>76.7</v>
      </c>
      <c r="Z96">
        <v>27.28</v>
      </c>
      <c r="AB96">
        <v>240720000</v>
      </c>
      <c r="AC96">
        <v>56087760</v>
      </c>
      <c r="AD96">
        <v>240720000</v>
      </c>
      <c r="AE96">
        <v>56087760</v>
      </c>
      <c r="AG96">
        <v>72.72</v>
      </c>
      <c r="AH96">
        <v>23.3</v>
      </c>
      <c r="AI96">
        <v>1</v>
      </c>
      <c r="AJ96">
        <v>3.1210990000000001</v>
      </c>
      <c r="AK96">
        <v>0.1124</v>
      </c>
      <c r="AL96">
        <v>5.61</v>
      </c>
      <c r="AM96">
        <v>5609</v>
      </c>
      <c r="AN96">
        <v>0.59919999999999995</v>
      </c>
      <c r="AO96">
        <v>30</v>
      </c>
      <c r="AP96">
        <v>21.87</v>
      </c>
      <c r="AQ96">
        <v>0.72</v>
      </c>
      <c r="AR96">
        <v>-6.03</v>
      </c>
      <c r="AS96">
        <v>1.9</v>
      </c>
      <c r="AT96">
        <v>15.4</v>
      </c>
      <c r="AU96">
        <v>6666.69</v>
      </c>
      <c r="AV96">
        <v>35.81</v>
      </c>
      <c r="AW96">
        <v>10.39</v>
      </c>
      <c r="AX96">
        <v>7.4</v>
      </c>
      <c r="AY96">
        <v>31.039679</v>
      </c>
      <c r="AZ96">
        <v>125.55446999999999</v>
      </c>
      <c r="BA96">
        <v>-10.188533</v>
      </c>
      <c r="BB96">
        <v>1.809434</v>
      </c>
      <c r="BC96">
        <v>10.188533</v>
      </c>
      <c r="BD96">
        <v>40.747714000000002</v>
      </c>
      <c r="BE96">
        <v>234.21511599999999</v>
      </c>
      <c r="BF96">
        <v>-7.8507730000000002</v>
      </c>
      <c r="BG96">
        <v>7.0908870000000004</v>
      </c>
      <c r="BH96">
        <v>7.8507730000000002</v>
      </c>
    </row>
    <row r="97" spans="1:60" x14ac:dyDescent="0.25">
      <c r="A97" t="s">
        <v>246</v>
      </c>
      <c r="B97" t="s">
        <v>152</v>
      </c>
      <c r="C97">
        <v>4</v>
      </c>
      <c r="D97" t="s">
        <v>148</v>
      </c>
      <c r="E97" cm="1">
        <f t="array" ref="E97">_xlfn.SWITCH(D97,"QPSK",0.1,"16QAM",0.25,"64QAM",0.5,"256QAM",0.8,"1024QAM",1,"")</f>
        <v>0.25</v>
      </c>
      <c r="F97" cm="1">
        <f t="array" ref="F97">_xlfn.SWITCH(D97,"QPSK",0.05,"16QAM",0.15,"64QAM",0.4,"256QAM",0.75,"1024QAM",1,"")</f>
        <v>0.15</v>
      </c>
      <c r="G97" t="s">
        <v>61</v>
      </c>
      <c r="H97">
        <v>1</v>
      </c>
      <c r="I97" t="s">
        <v>62</v>
      </c>
      <c r="J97">
        <v>2</v>
      </c>
      <c r="K97">
        <v>2</v>
      </c>
      <c r="L97" t="s">
        <v>63</v>
      </c>
      <c r="M97">
        <v>2</v>
      </c>
      <c r="N97">
        <v>0.47849999999999998</v>
      </c>
      <c r="O97">
        <v>0.48220000000000002</v>
      </c>
      <c r="P97">
        <v>5000</v>
      </c>
      <c r="Q97">
        <v>1627</v>
      </c>
      <c r="R97">
        <v>3373</v>
      </c>
      <c r="S97">
        <v>3.07</v>
      </c>
      <c r="T97">
        <v>207.31</v>
      </c>
      <c r="W97">
        <v>1220</v>
      </c>
      <c r="X97">
        <v>407</v>
      </c>
      <c r="Y97">
        <v>75.599999999999994</v>
      </c>
      <c r="Z97">
        <v>25.02</v>
      </c>
      <c r="AB97">
        <v>120360000</v>
      </c>
      <c r="AC97">
        <v>29367840</v>
      </c>
      <c r="AD97">
        <v>120360000</v>
      </c>
      <c r="AE97">
        <v>29367840</v>
      </c>
      <c r="AF97">
        <v>249600000</v>
      </c>
      <c r="AG97">
        <v>74.98</v>
      </c>
      <c r="AH97">
        <v>24.4</v>
      </c>
      <c r="AI97">
        <v>1</v>
      </c>
      <c r="AJ97">
        <v>3.0731410000000001</v>
      </c>
      <c r="AK97">
        <v>0.1177</v>
      </c>
      <c r="AL97">
        <v>5.87</v>
      </c>
      <c r="AM97">
        <v>5874</v>
      </c>
      <c r="AN97">
        <v>0.62749999999999995</v>
      </c>
      <c r="AO97">
        <v>30</v>
      </c>
      <c r="AP97">
        <v>21.87</v>
      </c>
      <c r="AQ97">
        <v>0.72</v>
      </c>
      <c r="AR97">
        <v>-5.89</v>
      </c>
      <c r="AS97">
        <v>1.92</v>
      </c>
      <c r="AT97">
        <v>16.11</v>
      </c>
      <c r="AU97">
        <v>6666.69</v>
      </c>
      <c r="AV97">
        <v>35.81</v>
      </c>
      <c r="AW97">
        <v>10.43</v>
      </c>
      <c r="AX97">
        <v>7.51</v>
      </c>
      <c r="AY97">
        <v>30.880403999999999</v>
      </c>
      <c r="AZ97">
        <v>124.449484</v>
      </c>
      <c r="BA97">
        <v>-10.23438</v>
      </c>
      <c r="BB97">
        <v>1.730742</v>
      </c>
      <c r="BC97">
        <v>10.23438</v>
      </c>
      <c r="BD97">
        <v>40.408605999999999</v>
      </c>
      <c r="BE97">
        <v>228.37127000000001</v>
      </c>
      <c r="BF97">
        <v>-7.9170379999999998</v>
      </c>
      <c r="BG97">
        <v>6.9044460000000001</v>
      </c>
      <c r="BH97">
        <v>7.9170379999999998</v>
      </c>
    </row>
    <row r="98" spans="1:60" x14ac:dyDescent="0.25">
      <c r="A98" t="s">
        <v>247</v>
      </c>
      <c r="B98" t="s">
        <v>248</v>
      </c>
      <c r="C98">
        <v>4</v>
      </c>
      <c r="D98" t="s">
        <v>148</v>
      </c>
      <c r="E98" cm="1">
        <f t="array" ref="E98">_xlfn.SWITCH(D98,"QPSK",0.1,"16QAM",0.25,"64QAM",0.5,"256QAM",0.8,"1024QAM",1,"")</f>
        <v>0.25</v>
      </c>
      <c r="F98" cm="1">
        <f t="array" ref="F98">_xlfn.SWITCH(D98,"QPSK",0.05,"16QAM",0.15,"64QAM",0.4,"256QAM",0.75,"1024QAM",1,"")</f>
        <v>0.15</v>
      </c>
      <c r="G98" t="s">
        <v>61</v>
      </c>
      <c r="H98">
        <v>4</v>
      </c>
      <c r="I98" t="s">
        <v>62</v>
      </c>
      <c r="J98">
        <v>2</v>
      </c>
      <c r="K98">
        <v>2</v>
      </c>
      <c r="L98" t="s">
        <v>63</v>
      </c>
      <c r="M98">
        <v>2</v>
      </c>
      <c r="N98">
        <v>0.47849999999999998</v>
      </c>
      <c r="O98">
        <v>0.48220000000000002</v>
      </c>
      <c r="P98">
        <v>10000</v>
      </c>
      <c r="Q98">
        <v>3189</v>
      </c>
      <c r="R98">
        <v>6811</v>
      </c>
      <c r="S98">
        <v>3.14</v>
      </c>
      <c r="T98">
        <v>2.14</v>
      </c>
      <c r="W98">
        <v>2329</v>
      </c>
      <c r="X98">
        <v>0</v>
      </c>
      <c r="Y98">
        <v>76.709999999999994</v>
      </c>
      <c r="Z98">
        <v>26.97</v>
      </c>
      <c r="AB98">
        <v>240720000</v>
      </c>
      <c r="AC98">
        <v>56063688</v>
      </c>
      <c r="AD98">
        <v>240720000</v>
      </c>
      <c r="AE98">
        <v>56063688</v>
      </c>
      <c r="AG98">
        <v>73.03</v>
      </c>
      <c r="AH98">
        <v>23.29</v>
      </c>
      <c r="AI98">
        <v>1</v>
      </c>
      <c r="AJ98">
        <v>3.1357789999999999</v>
      </c>
      <c r="AK98">
        <v>0.1123</v>
      </c>
      <c r="AL98">
        <v>5.61</v>
      </c>
      <c r="AM98">
        <v>5606</v>
      </c>
      <c r="AN98">
        <v>0.59899999999999998</v>
      </c>
      <c r="AO98">
        <v>30</v>
      </c>
      <c r="AP98">
        <v>21.87</v>
      </c>
      <c r="AQ98">
        <v>0.72</v>
      </c>
      <c r="AR98">
        <v>-6.03</v>
      </c>
      <c r="AS98">
        <v>1.9</v>
      </c>
      <c r="AT98">
        <v>15.58</v>
      </c>
      <c r="AU98">
        <v>6666.69</v>
      </c>
      <c r="AV98">
        <v>35.81</v>
      </c>
      <c r="AW98">
        <v>10.39</v>
      </c>
      <c r="AX98">
        <v>7.4</v>
      </c>
      <c r="AY98">
        <v>31.037051000000002</v>
      </c>
      <c r="AZ98">
        <v>125.81735500000001</v>
      </c>
      <c r="BA98">
        <v>-10.18918</v>
      </c>
      <c r="BB98">
        <v>1.827474</v>
      </c>
      <c r="BC98">
        <v>10.18918</v>
      </c>
      <c r="BD98">
        <v>40.748162999999998</v>
      </c>
      <c r="BE98">
        <v>233.25569899999999</v>
      </c>
      <c r="BF98">
        <v>-7.8506970000000003</v>
      </c>
      <c r="BG98">
        <v>7.0597070000000004</v>
      </c>
      <c r="BH98">
        <v>7.8506970000000003</v>
      </c>
    </row>
    <row r="99" spans="1:60" x14ac:dyDescent="0.25">
      <c r="A99" t="s">
        <v>249</v>
      </c>
      <c r="B99" t="s">
        <v>250</v>
      </c>
      <c r="C99">
        <v>4</v>
      </c>
      <c r="D99" t="s">
        <v>148</v>
      </c>
      <c r="E99" cm="1">
        <f t="array" ref="E99">_xlfn.SWITCH(D99,"QPSK",0.1,"16QAM",0.25,"64QAM",0.5,"256QAM",0.8,"1024QAM",1,"")</f>
        <v>0.25</v>
      </c>
      <c r="F99" cm="1">
        <f t="array" ref="F99">_xlfn.SWITCH(D99,"QPSK",0.05,"16QAM",0.15,"64QAM",0.4,"256QAM",0.75,"1024QAM",1,"")</f>
        <v>0.15</v>
      </c>
      <c r="G99" t="s">
        <v>61</v>
      </c>
      <c r="H99">
        <v>4</v>
      </c>
      <c r="I99" t="s">
        <v>62</v>
      </c>
      <c r="J99">
        <v>2</v>
      </c>
      <c r="K99">
        <v>2</v>
      </c>
      <c r="L99" t="s">
        <v>63</v>
      </c>
      <c r="M99">
        <v>2</v>
      </c>
      <c r="N99">
        <v>0.47849999999999998</v>
      </c>
      <c r="O99">
        <v>0.48220000000000002</v>
      </c>
      <c r="P99">
        <v>5000</v>
      </c>
      <c r="Q99">
        <v>1622</v>
      </c>
      <c r="R99">
        <v>3378</v>
      </c>
      <c r="S99">
        <v>3.08</v>
      </c>
      <c r="T99">
        <v>208.26</v>
      </c>
      <c r="W99">
        <v>1232</v>
      </c>
      <c r="X99">
        <v>389</v>
      </c>
      <c r="Y99">
        <v>75.36</v>
      </c>
      <c r="Z99">
        <v>24.04</v>
      </c>
      <c r="AB99">
        <v>120360000</v>
      </c>
      <c r="AC99">
        <v>29656704</v>
      </c>
      <c r="AD99">
        <v>120360000</v>
      </c>
      <c r="AE99">
        <v>29656704</v>
      </c>
      <c r="AF99">
        <v>249600000</v>
      </c>
      <c r="AG99">
        <v>75.959999999999994</v>
      </c>
      <c r="AH99">
        <v>24.64</v>
      </c>
      <c r="AI99">
        <v>1</v>
      </c>
      <c r="AJ99">
        <v>3.082614</v>
      </c>
      <c r="AK99">
        <v>0.1188</v>
      </c>
      <c r="AL99">
        <v>5.93</v>
      </c>
      <c r="AM99">
        <v>5931</v>
      </c>
      <c r="AN99">
        <v>0.63370000000000004</v>
      </c>
      <c r="AO99">
        <v>30</v>
      </c>
      <c r="AP99">
        <v>21.87</v>
      </c>
      <c r="AQ99">
        <v>0.72</v>
      </c>
      <c r="AR99">
        <v>-5.89</v>
      </c>
      <c r="AS99">
        <v>1.92</v>
      </c>
      <c r="AT99">
        <v>16.059999999999999</v>
      </c>
      <c r="AU99">
        <v>6666.69</v>
      </c>
      <c r="AV99">
        <v>35.81</v>
      </c>
      <c r="AW99">
        <v>10.44</v>
      </c>
      <c r="AX99">
        <v>7.51</v>
      </c>
      <c r="AY99">
        <v>30.872050000000002</v>
      </c>
      <c r="AZ99">
        <v>124.13300599999999</v>
      </c>
      <c r="BA99">
        <v>-10.236338</v>
      </c>
      <c r="BB99">
        <v>1.709768</v>
      </c>
      <c r="BC99">
        <v>10.236338</v>
      </c>
      <c r="BD99">
        <v>40.414064000000003</v>
      </c>
      <c r="BE99">
        <v>229.36542399999999</v>
      </c>
      <c r="BF99">
        <v>-7.9157479999999998</v>
      </c>
      <c r="BG99">
        <v>6.9344340000000004</v>
      </c>
      <c r="BH99">
        <v>7.9157479999999998</v>
      </c>
    </row>
    <row r="100" spans="1:60" x14ac:dyDescent="0.25">
      <c r="A100" t="s">
        <v>251</v>
      </c>
      <c r="B100" t="s">
        <v>252</v>
      </c>
      <c r="C100">
        <v>4</v>
      </c>
      <c r="D100" t="s">
        <v>148</v>
      </c>
      <c r="E100" cm="1">
        <f t="array" ref="E100">_xlfn.SWITCH(D100,"QPSK",0.1,"16QAM",0.25,"64QAM",0.5,"256QAM",0.8,"1024QAM",1,"")</f>
        <v>0.25</v>
      </c>
      <c r="F100" cm="1">
        <f t="array" ref="F100">_xlfn.SWITCH(D100,"QPSK",0.05,"16QAM",0.15,"64QAM",0.4,"256QAM",0.75,"1024QAM",1,"")</f>
        <v>0.15</v>
      </c>
      <c r="G100" t="s">
        <v>61</v>
      </c>
      <c r="H100">
        <v>8</v>
      </c>
      <c r="I100" t="s">
        <v>62</v>
      </c>
      <c r="J100">
        <v>2</v>
      </c>
      <c r="K100">
        <v>2</v>
      </c>
      <c r="L100" t="s">
        <v>63</v>
      </c>
      <c r="M100">
        <v>2</v>
      </c>
      <c r="N100">
        <v>0.47849999999999998</v>
      </c>
      <c r="O100">
        <v>0.48220000000000002</v>
      </c>
      <c r="P100">
        <v>10000</v>
      </c>
      <c r="Q100">
        <v>3180</v>
      </c>
      <c r="R100">
        <v>6820</v>
      </c>
      <c r="S100">
        <v>3.14</v>
      </c>
      <c r="T100">
        <v>2.14</v>
      </c>
      <c r="W100">
        <v>2338</v>
      </c>
      <c r="X100">
        <v>0</v>
      </c>
      <c r="Y100">
        <v>76.62</v>
      </c>
      <c r="Z100">
        <v>26.48</v>
      </c>
      <c r="AB100">
        <v>240720000</v>
      </c>
      <c r="AC100">
        <v>56280336</v>
      </c>
      <c r="AD100">
        <v>240720000</v>
      </c>
      <c r="AE100">
        <v>56280336</v>
      </c>
      <c r="AG100">
        <v>73.52</v>
      </c>
      <c r="AH100">
        <v>23.38</v>
      </c>
      <c r="AI100">
        <v>1</v>
      </c>
      <c r="AJ100">
        <v>3.1446540000000001</v>
      </c>
      <c r="AK100">
        <v>0.11269999999999999</v>
      </c>
      <c r="AL100">
        <v>5.63</v>
      </c>
      <c r="AM100">
        <v>5628</v>
      </c>
      <c r="AN100">
        <v>0.60129999999999995</v>
      </c>
      <c r="AO100">
        <v>30</v>
      </c>
      <c r="AP100">
        <v>21.87</v>
      </c>
      <c r="AQ100">
        <v>0.72</v>
      </c>
      <c r="AR100">
        <v>-6.03</v>
      </c>
      <c r="AS100">
        <v>1.9</v>
      </c>
      <c r="AT100">
        <v>15.58</v>
      </c>
      <c r="AU100">
        <v>6666.69</v>
      </c>
      <c r="AV100">
        <v>35.81</v>
      </c>
      <c r="AW100">
        <v>10.39</v>
      </c>
      <c r="AX100">
        <v>7.4</v>
      </c>
      <c r="AY100">
        <v>31.035377</v>
      </c>
      <c r="AZ100">
        <v>125.645791</v>
      </c>
      <c r="BA100">
        <v>-10.189768000000001</v>
      </c>
      <c r="BB100">
        <v>1.815207</v>
      </c>
      <c r="BC100">
        <v>10.189768000000001</v>
      </c>
      <c r="BD100">
        <v>40.743949000000001</v>
      </c>
      <c r="BE100">
        <v>233.38576800000001</v>
      </c>
      <c r="BF100">
        <v>-7.8515810000000004</v>
      </c>
      <c r="BG100">
        <v>7.0637559999999997</v>
      </c>
      <c r="BH100">
        <v>7.8515810000000004</v>
      </c>
    </row>
    <row r="101" spans="1:60" x14ac:dyDescent="0.25">
      <c r="A101" t="s">
        <v>253</v>
      </c>
      <c r="B101" t="s">
        <v>254</v>
      </c>
      <c r="C101">
        <v>6</v>
      </c>
      <c r="D101" t="s">
        <v>148</v>
      </c>
      <c r="E101" cm="1">
        <f t="array" ref="E101">_xlfn.SWITCH(D101,"QPSK",0.1,"16QAM",0.25,"64QAM",0.5,"256QAM",0.8,"1024QAM",1,"")</f>
        <v>0.25</v>
      </c>
      <c r="F101" cm="1">
        <f t="array" ref="F101">_xlfn.SWITCH(D101,"QPSK",0.05,"16QAM",0.15,"64QAM",0.4,"256QAM",0.75,"1024QAM",1,"")</f>
        <v>0.15</v>
      </c>
      <c r="G101" t="s">
        <v>61</v>
      </c>
      <c r="H101">
        <v>16</v>
      </c>
      <c r="I101" t="s">
        <v>62</v>
      </c>
      <c r="J101">
        <v>2</v>
      </c>
      <c r="K101">
        <v>2</v>
      </c>
      <c r="L101" t="s">
        <v>63</v>
      </c>
      <c r="M101">
        <v>2</v>
      </c>
      <c r="N101">
        <v>0.47849999999999998</v>
      </c>
      <c r="O101">
        <v>0.48220000000000002</v>
      </c>
      <c r="P101">
        <v>5000</v>
      </c>
      <c r="Q101">
        <v>1979</v>
      </c>
      <c r="R101">
        <v>3021</v>
      </c>
      <c r="S101">
        <v>2.5299999999999998</v>
      </c>
      <c r="T101">
        <v>152.65</v>
      </c>
      <c r="W101">
        <v>1903</v>
      </c>
      <c r="X101">
        <v>71</v>
      </c>
      <c r="Y101">
        <v>61.94</v>
      </c>
      <c r="Z101">
        <v>3.84</v>
      </c>
      <c r="AB101">
        <v>120360000</v>
      </c>
      <c r="AC101">
        <v>45809016</v>
      </c>
      <c r="AD101">
        <v>120360000</v>
      </c>
      <c r="AE101">
        <v>45809016</v>
      </c>
      <c r="AF101">
        <v>249600000</v>
      </c>
      <c r="AG101">
        <v>96.16</v>
      </c>
      <c r="AH101">
        <v>38.06</v>
      </c>
      <c r="AI101">
        <v>1</v>
      </c>
      <c r="AJ101">
        <v>2.526529</v>
      </c>
      <c r="AK101">
        <v>0.1835</v>
      </c>
      <c r="AL101">
        <v>9.16</v>
      </c>
      <c r="AM101">
        <v>9162</v>
      </c>
      <c r="AN101">
        <v>0.9788</v>
      </c>
      <c r="AO101">
        <v>30</v>
      </c>
      <c r="AP101">
        <v>21.87</v>
      </c>
      <c r="AQ101">
        <v>0.72</v>
      </c>
      <c r="AR101">
        <v>-5.93</v>
      </c>
      <c r="AS101">
        <v>1.95</v>
      </c>
      <c r="AT101">
        <v>19.350000000000001</v>
      </c>
      <c r="AU101">
        <v>6666.69</v>
      </c>
      <c r="AV101">
        <v>35.81</v>
      </c>
      <c r="AW101">
        <v>11</v>
      </c>
      <c r="AX101">
        <v>8.1999999999999993</v>
      </c>
      <c r="AY101">
        <v>28.772030000000001</v>
      </c>
      <c r="AZ101">
        <v>108.36773599999999</v>
      </c>
      <c r="BA101">
        <v>-10.857060000000001</v>
      </c>
      <c r="BB101">
        <v>0.492288</v>
      </c>
      <c r="BC101">
        <v>10.857060000000001</v>
      </c>
      <c r="BD101">
        <v>38.867094000000002</v>
      </c>
      <c r="BE101">
        <v>208.808616</v>
      </c>
      <c r="BF101">
        <v>-8.2642039999999994</v>
      </c>
      <c r="BG101">
        <v>6.1048539999999996</v>
      </c>
      <c r="BH101">
        <v>8.2642039999999994</v>
      </c>
    </row>
    <row r="102" spans="1:60" x14ac:dyDescent="0.25">
      <c r="A102" t="s">
        <v>255</v>
      </c>
      <c r="B102" t="s">
        <v>161</v>
      </c>
      <c r="C102">
        <v>6</v>
      </c>
      <c r="D102" t="s">
        <v>148</v>
      </c>
      <c r="E102" cm="1">
        <f t="array" ref="E102">_xlfn.SWITCH(D102,"QPSK",0.1,"16QAM",0.25,"64QAM",0.5,"256QAM",0.8,"1024QAM",1,"")</f>
        <v>0.25</v>
      </c>
      <c r="F102" cm="1">
        <f t="array" ref="F102">_xlfn.SWITCH(D102,"QPSK",0.05,"16QAM",0.15,"64QAM",0.4,"256QAM",0.75,"1024QAM",1,"")</f>
        <v>0.15</v>
      </c>
      <c r="G102" t="s">
        <v>61</v>
      </c>
      <c r="H102">
        <v>1</v>
      </c>
      <c r="I102" t="s">
        <v>62</v>
      </c>
      <c r="J102">
        <v>2</v>
      </c>
      <c r="K102">
        <v>2</v>
      </c>
      <c r="L102" t="s">
        <v>63</v>
      </c>
      <c r="M102">
        <v>2</v>
      </c>
      <c r="N102">
        <v>0.47849999999999998</v>
      </c>
      <c r="O102">
        <v>0.48220000000000002</v>
      </c>
      <c r="P102">
        <v>10000</v>
      </c>
      <c r="Q102">
        <v>3922</v>
      </c>
      <c r="R102">
        <v>6078</v>
      </c>
      <c r="S102">
        <v>2.5499999999999998</v>
      </c>
      <c r="T102">
        <v>1.55</v>
      </c>
      <c r="W102">
        <v>3636</v>
      </c>
      <c r="X102">
        <v>0</v>
      </c>
      <c r="Y102">
        <v>63.64</v>
      </c>
      <c r="Z102">
        <v>7.29</v>
      </c>
      <c r="AB102">
        <v>240720000</v>
      </c>
      <c r="AC102">
        <v>87525792</v>
      </c>
      <c r="AD102">
        <v>240720000</v>
      </c>
      <c r="AE102">
        <v>87525792</v>
      </c>
      <c r="AG102">
        <v>92.71</v>
      </c>
      <c r="AH102">
        <v>36.36</v>
      </c>
      <c r="AI102">
        <v>1</v>
      </c>
      <c r="AJ102">
        <v>2.5497200000000002</v>
      </c>
      <c r="AK102">
        <v>0.17530000000000001</v>
      </c>
      <c r="AL102">
        <v>8.75</v>
      </c>
      <c r="AM102">
        <v>8753</v>
      </c>
      <c r="AN102">
        <v>0.93510000000000004</v>
      </c>
      <c r="AO102">
        <v>30</v>
      </c>
      <c r="AP102">
        <v>21.87</v>
      </c>
      <c r="AQ102">
        <v>0.72</v>
      </c>
      <c r="AR102">
        <v>-6.07</v>
      </c>
      <c r="AS102">
        <v>1.92</v>
      </c>
      <c r="AT102">
        <v>18.47</v>
      </c>
      <c r="AU102">
        <v>6666.69</v>
      </c>
      <c r="AV102">
        <v>35.81</v>
      </c>
      <c r="AW102">
        <v>10.95</v>
      </c>
      <c r="AX102">
        <v>8.09</v>
      </c>
      <c r="AY102">
        <v>28.939951000000001</v>
      </c>
      <c r="AZ102">
        <v>109.065476</v>
      </c>
      <c r="BA102">
        <v>-10.805099999999999</v>
      </c>
      <c r="BB102">
        <v>0.55915099999999995</v>
      </c>
      <c r="BC102">
        <v>10.805099999999999</v>
      </c>
      <c r="BD102">
        <v>39.202160999999997</v>
      </c>
      <c r="BE102">
        <v>212.16590299999999</v>
      </c>
      <c r="BF102">
        <v>-8.1979880000000005</v>
      </c>
      <c r="BG102">
        <v>6.2110320000000003</v>
      </c>
      <c r="BH102">
        <v>8.1979880000000005</v>
      </c>
    </row>
    <row r="103" spans="1:60" x14ac:dyDescent="0.25">
      <c r="A103" t="s">
        <v>256</v>
      </c>
      <c r="B103" t="s">
        <v>152</v>
      </c>
      <c r="C103">
        <v>6</v>
      </c>
      <c r="D103" t="s">
        <v>148</v>
      </c>
      <c r="E103" cm="1">
        <f t="array" ref="E103">_xlfn.SWITCH(D103,"QPSK",0.1,"16QAM",0.25,"64QAM",0.5,"256QAM",0.8,"1024QAM",1,"")</f>
        <v>0.25</v>
      </c>
      <c r="F103" cm="1">
        <f t="array" ref="F103">_xlfn.SWITCH(D103,"QPSK",0.05,"16QAM",0.15,"64QAM",0.4,"256QAM",0.75,"1024QAM",1,"")</f>
        <v>0.15</v>
      </c>
      <c r="G103" t="s">
        <v>61</v>
      </c>
      <c r="H103">
        <v>1</v>
      </c>
      <c r="I103" t="s">
        <v>62</v>
      </c>
      <c r="J103">
        <v>2</v>
      </c>
      <c r="K103">
        <v>2</v>
      </c>
      <c r="L103" t="s">
        <v>63</v>
      </c>
      <c r="M103">
        <v>2</v>
      </c>
      <c r="N103">
        <v>0.47849999999999998</v>
      </c>
      <c r="O103">
        <v>0.48220000000000002</v>
      </c>
      <c r="P103">
        <v>5000</v>
      </c>
      <c r="Q103">
        <v>1994</v>
      </c>
      <c r="R103">
        <v>3006</v>
      </c>
      <c r="S103">
        <v>2.5099999999999998</v>
      </c>
      <c r="T103">
        <v>150.75</v>
      </c>
      <c r="W103">
        <v>1864</v>
      </c>
      <c r="X103">
        <v>129</v>
      </c>
      <c r="Y103">
        <v>62.72</v>
      </c>
      <c r="Z103">
        <v>6.52</v>
      </c>
      <c r="AB103">
        <v>120360000</v>
      </c>
      <c r="AC103">
        <v>44870208</v>
      </c>
      <c r="AD103">
        <v>120360000</v>
      </c>
      <c r="AE103">
        <v>44870208</v>
      </c>
      <c r="AF103">
        <v>249600000</v>
      </c>
      <c r="AG103">
        <v>93.48</v>
      </c>
      <c r="AH103">
        <v>37.28</v>
      </c>
      <c r="AI103">
        <v>1</v>
      </c>
      <c r="AJ103">
        <v>2.5075229999999999</v>
      </c>
      <c r="AK103">
        <v>0.17979999999999999</v>
      </c>
      <c r="AL103">
        <v>8.9700000000000006</v>
      </c>
      <c r="AM103">
        <v>8974</v>
      </c>
      <c r="AN103">
        <v>0.95879999999999999</v>
      </c>
      <c r="AO103">
        <v>30</v>
      </c>
      <c r="AP103">
        <v>21.87</v>
      </c>
      <c r="AQ103">
        <v>0.72</v>
      </c>
      <c r="AR103">
        <v>-5.93</v>
      </c>
      <c r="AS103">
        <v>1.95</v>
      </c>
      <c r="AT103">
        <v>18.98</v>
      </c>
      <c r="AU103">
        <v>6666.69</v>
      </c>
      <c r="AV103">
        <v>35.81</v>
      </c>
      <c r="AW103">
        <v>11</v>
      </c>
      <c r="AX103">
        <v>8.1999999999999993</v>
      </c>
      <c r="AY103">
        <v>28.770189999999999</v>
      </c>
      <c r="AZ103">
        <v>108.012694</v>
      </c>
      <c r="BA103">
        <v>-10.857638</v>
      </c>
      <c r="BB103">
        <v>0.46768599999999999</v>
      </c>
      <c r="BC103">
        <v>10.857638</v>
      </c>
      <c r="BD103">
        <v>38.858814000000002</v>
      </c>
      <c r="BE103">
        <v>208.60181399999999</v>
      </c>
      <c r="BF103">
        <v>-8.2661040000000003</v>
      </c>
      <c r="BG103">
        <v>6.0978719999999997</v>
      </c>
      <c r="BH103">
        <v>8.2661040000000003</v>
      </c>
    </row>
    <row r="104" spans="1:60" x14ac:dyDescent="0.25">
      <c r="A104" t="s">
        <v>257</v>
      </c>
      <c r="B104" t="s">
        <v>258</v>
      </c>
      <c r="C104">
        <v>6</v>
      </c>
      <c r="D104" t="s">
        <v>148</v>
      </c>
      <c r="E104" cm="1">
        <f t="array" ref="E104">_xlfn.SWITCH(D104,"QPSK",0.1,"16QAM",0.25,"64QAM",0.5,"256QAM",0.8,"1024QAM",1,"")</f>
        <v>0.25</v>
      </c>
      <c r="F104" cm="1">
        <f t="array" ref="F104">_xlfn.SWITCH(D104,"QPSK",0.05,"16QAM",0.15,"64QAM",0.4,"256QAM",0.75,"1024QAM",1,"")</f>
        <v>0.15</v>
      </c>
      <c r="G104" t="s">
        <v>61</v>
      </c>
      <c r="H104">
        <v>4</v>
      </c>
      <c r="I104" t="s">
        <v>62</v>
      </c>
      <c r="J104">
        <v>2</v>
      </c>
      <c r="K104">
        <v>2</v>
      </c>
      <c r="L104" t="s">
        <v>63</v>
      </c>
      <c r="M104">
        <v>2</v>
      </c>
      <c r="N104">
        <v>0.47849999999999998</v>
      </c>
      <c r="O104">
        <v>0.48220000000000002</v>
      </c>
      <c r="P104">
        <v>10000</v>
      </c>
      <c r="Q104">
        <v>3906</v>
      </c>
      <c r="R104">
        <v>6094</v>
      </c>
      <c r="S104">
        <v>2.56</v>
      </c>
      <c r="T104">
        <v>1.56</v>
      </c>
      <c r="W104">
        <v>3629</v>
      </c>
      <c r="X104">
        <v>0</v>
      </c>
      <c r="Y104">
        <v>63.71</v>
      </c>
      <c r="Z104">
        <v>7.09</v>
      </c>
      <c r="AB104">
        <v>240720000</v>
      </c>
      <c r="AC104">
        <v>87357288</v>
      </c>
      <c r="AD104">
        <v>240720000</v>
      </c>
      <c r="AE104">
        <v>87357288</v>
      </c>
      <c r="AG104">
        <v>92.91</v>
      </c>
      <c r="AH104">
        <v>36.29</v>
      </c>
      <c r="AI104">
        <v>1</v>
      </c>
      <c r="AJ104">
        <v>2.5601639999999999</v>
      </c>
      <c r="AK104">
        <v>0.17499999999999999</v>
      </c>
      <c r="AL104">
        <v>8.74</v>
      </c>
      <c r="AM104">
        <v>8736</v>
      </c>
      <c r="AN104">
        <v>0.93330000000000002</v>
      </c>
      <c r="AO104">
        <v>30</v>
      </c>
      <c r="AP104">
        <v>21.87</v>
      </c>
      <c r="AQ104">
        <v>0.72</v>
      </c>
      <c r="AR104">
        <v>-6.06</v>
      </c>
      <c r="AS104">
        <v>1.92</v>
      </c>
      <c r="AT104">
        <v>18.55</v>
      </c>
      <c r="AU104">
        <v>6666.69</v>
      </c>
      <c r="AV104">
        <v>35.81</v>
      </c>
      <c r="AW104">
        <v>10.95</v>
      </c>
      <c r="AX104">
        <v>8.09</v>
      </c>
      <c r="AY104">
        <v>28.946380999999999</v>
      </c>
      <c r="AZ104">
        <v>109.26097799999999</v>
      </c>
      <c r="BA104">
        <v>-10.803106</v>
      </c>
      <c r="BB104">
        <v>0.57317399999999996</v>
      </c>
      <c r="BC104">
        <v>10.803106</v>
      </c>
      <c r="BD104">
        <v>39.204186999999997</v>
      </c>
      <c r="BE104">
        <v>212.71319500000001</v>
      </c>
      <c r="BF104">
        <v>-8.1973889999999994</v>
      </c>
      <c r="BG104">
        <v>6.2300659999999999</v>
      </c>
      <c r="BH104">
        <v>8.1973889999999994</v>
      </c>
    </row>
    <row r="105" spans="1:60" x14ac:dyDescent="0.25">
      <c r="A105" t="s">
        <v>259</v>
      </c>
      <c r="B105" t="s">
        <v>260</v>
      </c>
      <c r="C105">
        <v>6</v>
      </c>
      <c r="D105" t="s">
        <v>148</v>
      </c>
      <c r="E105" cm="1">
        <f t="array" ref="E105">_xlfn.SWITCH(D105,"QPSK",0.1,"16QAM",0.25,"64QAM",0.5,"256QAM",0.8,"1024QAM",1,"")</f>
        <v>0.25</v>
      </c>
      <c r="F105" cm="1">
        <f t="array" ref="F105">_xlfn.SWITCH(D105,"QPSK",0.05,"16QAM",0.15,"64QAM",0.4,"256QAM",0.75,"1024QAM",1,"")</f>
        <v>0.15</v>
      </c>
      <c r="G105" t="s">
        <v>61</v>
      </c>
      <c r="H105">
        <v>4</v>
      </c>
      <c r="I105" t="s">
        <v>62</v>
      </c>
      <c r="J105">
        <v>2</v>
      </c>
      <c r="K105">
        <v>2</v>
      </c>
      <c r="L105" t="s">
        <v>63</v>
      </c>
      <c r="M105">
        <v>2</v>
      </c>
      <c r="N105">
        <v>0.47849999999999998</v>
      </c>
      <c r="O105">
        <v>0.48220000000000002</v>
      </c>
      <c r="P105">
        <v>5000</v>
      </c>
      <c r="Q105">
        <v>1988</v>
      </c>
      <c r="R105">
        <v>3012</v>
      </c>
      <c r="S105">
        <v>2.52</v>
      </c>
      <c r="T105">
        <v>151.51</v>
      </c>
      <c r="W105">
        <v>1870</v>
      </c>
      <c r="X105">
        <v>116</v>
      </c>
      <c r="Y105">
        <v>62.6</v>
      </c>
      <c r="Z105">
        <v>5.94</v>
      </c>
      <c r="AB105">
        <v>120360000</v>
      </c>
      <c r="AC105">
        <v>45014640</v>
      </c>
      <c r="AD105">
        <v>120360000</v>
      </c>
      <c r="AE105">
        <v>45014640</v>
      </c>
      <c r="AF105">
        <v>249600000</v>
      </c>
      <c r="AG105">
        <v>94.06</v>
      </c>
      <c r="AH105">
        <v>37.4</v>
      </c>
      <c r="AI105">
        <v>1</v>
      </c>
      <c r="AJ105">
        <v>2.515091</v>
      </c>
      <c r="AK105">
        <v>0.18029999999999999</v>
      </c>
      <c r="AL105">
        <v>9</v>
      </c>
      <c r="AM105">
        <v>9003</v>
      </c>
      <c r="AN105">
        <v>0.96189999999999998</v>
      </c>
      <c r="AO105">
        <v>30</v>
      </c>
      <c r="AP105">
        <v>21.87</v>
      </c>
      <c r="AQ105">
        <v>0.72</v>
      </c>
      <c r="AR105">
        <v>-5.93</v>
      </c>
      <c r="AS105">
        <v>1.95</v>
      </c>
      <c r="AT105">
        <v>19.510000000000002</v>
      </c>
      <c r="AU105">
        <v>6666.69</v>
      </c>
      <c r="AV105">
        <v>35.81</v>
      </c>
      <c r="AW105">
        <v>11</v>
      </c>
      <c r="AX105">
        <v>8.1999999999999993</v>
      </c>
      <c r="AY105">
        <v>28.772078</v>
      </c>
      <c r="AZ105">
        <v>107.90022399999999</v>
      </c>
      <c r="BA105">
        <v>-10.857054</v>
      </c>
      <c r="BB105">
        <v>0.46330199999999999</v>
      </c>
      <c r="BC105">
        <v>10.857054</v>
      </c>
      <c r="BD105">
        <v>38.886521999999999</v>
      </c>
      <c r="BE105">
        <v>208.97187</v>
      </c>
      <c r="BF105">
        <v>-8.2604860000000002</v>
      </c>
      <c r="BG105">
        <v>6.1090900000000001</v>
      </c>
      <c r="BH105">
        <v>8.2604860000000002</v>
      </c>
    </row>
    <row r="106" spans="1:60" x14ac:dyDescent="0.25">
      <c r="A106" t="s">
        <v>261</v>
      </c>
      <c r="B106" t="s">
        <v>262</v>
      </c>
      <c r="C106">
        <v>6</v>
      </c>
      <c r="D106" t="s">
        <v>148</v>
      </c>
      <c r="E106" cm="1">
        <f t="array" ref="E106">_xlfn.SWITCH(D106,"QPSK",0.1,"16QAM",0.25,"64QAM",0.5,"256QAM",0.8,"1024QAM",1,"")</f>
        <v>0.25</v>
      </c>
      <c r="F106" cm="1">
        <f t="array" ref="F106">_xlfn.SWITCH(D106,"QPSK",0.05,"16QAM",0.15,"64QAM",0.4,"256QAM",0.75,"1024QAM",1,"")</f>
        <v>0.15</v>
      </c>
      <c r="G106" t="s">
        <v>61</v>
      </c>
      <c r="H106">
        <v>8</v>
      </c>
      <c r="I106" t="s">
        <v>62</v>
      </c>
      <c r="J106">
        <v>2</v>
      </c>
      <c r="K106">
        <v>2</v>
      </c>
      <c r="L106" t="s">
        <v>63</v>
      </c>
      <c r="M106">
        <v>2</v>
      </c>
      <c r="N106">
        <v>0.47849999999999998</v>
      </c>
      <c r="O106">
        <v>0.48220000000000002</v>
      </c>
      <c r="P106">
        <v>10000</v>
      </c>
      <c r="Q106">
        <v>3903</v>
      </c>
      <c r="R106">
        <v>6097</v>
      </c>
      <c r="S106">
        <v>2.56</v>
      </c>
      <c r="T106">
        <v>1.56</v>
      </c>
      <c r="W106">
        <v>3679</v>
      </c>
      <c r="X106">
        <v>0</v>
      </c>
      <c r="Y106">
        <v>63.21</v>
      </c>
      <c r="Z106">
        <v>5.74</v>
      </c>
      <c r="AB106">
        <v>240720000</v>
      </c>
      <c r="AC106">
        <v>88560888</v>
      </c>
      <c r="AD106">
        <v>240720000</v>
      </c>
      <c r="AE106">
        <v>88560888</v>
      </c>
      <c r="AG106">
        <v>94.26</v>
      </c>
      <c r="AH106">
        <v>36.79</v>
      </c>
      <c r="AI106">
        <v>1</v>
      </c>
      <c r="AJ106">
        <v>2.5621320000000001</v>
      </c>
      <c r="AK106">
        <v>0.1774</v>
      </c>
      <c r="AL106">
        <v>8.86</v>
      </c>
      <c r="AM106">
        <v>8856</v>
      </c>
      <c r="AN106">
        <v>0.94620000000000004</v>
      </c>
      <c r="AO106">
        <v>30</v>
      </c>
      <c r="AP106">
        <v>21.87</v>
      </c>
      <c r="AQ106">
        <v>0.72</v>
      </c>
      <c r="AR106">
        <v>-6.07</v>
      </c>
      <c r="AS106">
        <v>1.92</v>
      </c>
      <c r="AT106">
        <v>18.579999999999998</v>
      </c>
      <c r="AU106">
        <v>6666.69</v>
      </c>
      <c r="AV106">
        <v>35.81</v>
      </c>
      <c r="AW106">
        <v>10.95</v>
      </c>
      <c r="AX106">
        <v>8.09</v>
      </c>
      <c r="AY106">
        <v>28.935358000000001</v>
      </c>
      <c r="AZ106">
        <v>108.94480900000001</v>
      </c>
      <c r="BA106">
        <v>-10.806417</v>
      </c>
      <c r="BB106">
        <v>0.55171199999999998</v>
      </c>
      <c r="BC106">
        <v>10.806417</v>
      </c>
      <c r="BD106">
        <v>39.203136000000001</v>
      </c>
      <c r="BE106">
        <v>212.38722300000001</v>
      </c>
      <c r="BF106">
        <v>-8.1978100000000005</v>
      </c>
      <c r="BG106">
        <v>6.2246360000000003</v>
      </c>
      <c r="BH106">
        <v>8.1978100000000005</v>
      </c>
    </row>
    <row r="107" spans="1:60" x14ac:dyDescent="0.25">
      <c r="A107" t="s">
        <v>263</v>
      </c>
      <c r="B107" t="s">
        <v>264</v>
      </c>
      <c r="C107">
        <v>8</v>
      </c>
      <c r="D107" t="s">
        <v>148</v>
      </c>
      <c r="E107" cm="1">
        <f t="array" ref="E107">_xlfn.SWITCH(D107,"QPSK",0.1,"16QAM",0.25,"64QAM",0.5,"256QAM",0.8,"1024QAM",1,"")</f>
        <v>0.25</v>
      </c>
      <c r="F107" cm="1">
        <f t="array" ref="F107">_xlfn.SWITCH(D107,"QPSK",0.05,"16QAM",0.15,"64QAM",0.4,"256QAM",0.75,"1024QAM",1,"")</f>
        <v>0.15</v>
      </c>
      <c r="G107" t="s">
        <v>61</v>
      </c>
      <c r="H107">
        <v>16</v>
      </c>
      <c r="I107" t="s">
        <v>62</v>
      </c>
      <c r="J107">
        <v>2</v>
      </c>
      <c r="K107">
        <v>2</v>
      </c>
      <c r="L107" t="s">
        <v>63</v>
      </c>
      <c r="M107">
        <v>2</v>
      </c>
      <c r="N107">
        <v>0.47849999999999998</v>
      </c>
      <c r="O107">
        <v>0.48220000000000002</v>
      </c>
      <c r="P107">
        <v>5000</v>
      </c>
      <c r="Q107">
        <v>2395</v>
      </c>
      <c r="R107">
        <v>2605</v>
      </c>
      <c r="S107">
        <v>2.09</v>
      </c>
      <c r="T107">
        <v>108.77</v>
      </c>
      <c r="W107">
        <v>2395</v>
      </c>
      <c r="X107">
        <v>0</v>
      </c>
      <c r="Y107">
        <v>52.1</v>
      </c>
      <c r="Z107">
        <v>0</v>
      </c>
      <c r="AB107">
        <v>120360000</v>
      </c>
      <c r="AC107">
        <v>57652440</v>
      </c>
      <c r="AD107">
        <v>120360000</v>
      </c>
      <c r="AE107">
        <v>57652440</v>
      </c>
      <c r="AF107">
        <v>249600000</v>
      </c>
      <c r="AG107">
        <v>100</v>
      </c>
      <c r="AH107">
        <v>47.9</v>
      </c>
      <c r="AI107">
        <v>1</v>
      </c>
      <c r="AJ107">
        <v>2.0876830000000002</v>
      </c>
      <c r="AK107">
        <v>0.23100000000000001</v>
      </c>
      <c r="AL107">
        <v>11.53</v>
      </c>
      <c r="AM107">
        <v>11530</v>
      </c>
      <c r="AN107">
        <v>1.2319</v>
      </c>
      <c r="AO107">
        <v>30</v>
      </c>
      <c r="AP107">
        <v>21.87</v>
      </c>
      <c r="AQ107">
        <v>0.72</v>
      </c>
      <c r="AR107">
        <v>-5.94</v>
      </c>
      <c r="AS107">
        <v>1.97</v>
      </c>
      <c r="AT107">
        <v>21.5</v>
      </c>
      <c r="AU107">
        <v>6666.69</v>
      </c>
      <c r="AV107">
        <v>35.81</v>
      </c>
      <c r="AW107">
        <v>11.65</v>
      </c>
      <c r="AX107">
        <v>8.8000000000000007</v>
      </c>
      <c r="AY107">
        <v>26.612658</v>
      </c>
      <c r="AZ107">
        <v>97.536844000000002</v>
      </c>
      <c r="BA107">
        <v>-11.550392</v>
      </c>
      <c r="BB107">
        <v>-0.49685200000000002</v>
      </c>
      <c r="BC107">
        <v>11.550392</v>
      </c>
      <c r="BD107">
        <v>37.231948000000003</v>
      </c>
      <c r="BE107">
        <v>191.60771</v>
      </c>
      <c r="BF107">
        <v>-8.6426839999999991</v>
      </c>
      <c r="BG107">
        <v>5.3753719999999996</v>
      </c>
      <c r="BH107">
        <v>8.6426839999999991</v>
      </c>
    </row>
    <row r="108" spans="1:60" x14ac:dyDescent="0.25">
      <c r="A108" t="s">
        <v>265</v>
      </c>
      <c r="B108" t="s">
        <v>266</v>
      </c>
      <c r="C108">
        <v>8</v>
      </c>
      <c r="D108" t="s">
        <v>148</v>
      </c>
      <c r="E108" cm="1">
        <f t="array" ref="E108">_xlfn.SWITCH(D108,"QPSK",0.1,"16QAM",0.25,"64QAM",0.5,"256QAM",0.8,"1024QAM",1,"")</f>
        <v>0.25</v>
      </c>
      <c r="F108" cm="1">
        <f t="array" ref="F108">_xlfn.SWITCH(D108,"QPSK",0.05,"16QAM",0.15,"64QAM",0.4,"256QAM",0.75,"1024QAM",1,"")</f>
        <v>0.15</v>
      </c>
      <c r="G108" t="s">
        <v>61</v>
      </c>
      <c r="H108">
        <v>1</v>
      </c>
      <c r="I108" t="s">
        <v>62</v>
      </c>
      <c r="J108">
        <v>2</v>
      </c>
      <c r="K108">
        <v>2</v>
      </c>
      <c r="L108" t="s">
        <v>63</v>
      </c>
      <c r="M108">
        <v>2</v>
      </c>
      <c r="N108">
        <v>0.47849999999999998</v>
      </c>
      <c r="O108">
        <v>0.48220000000000002</v>
      </c>
      <c r="P108">
        <v>10000</v>
      </c>
      <c r="Q108">
        <v>4790</v>
      </c>
      <c r="R108">
        <v>5210</v>
      </c>
      <c r="S108">
        <v>2.09</v>
      </c>
      <c r="T108">
        <v>1.0900000000000001</v>
      </c>
      <c r="W108">
        <v>4729</v>
      </c>
      <c r="X108">
        <v>0</v>
      </c>
      <c r="Y108">
        <v>52.71</v>
      </c>
      <c r="Z108">
        <v>1.27</v>
      </c>
      <c r="AB108">
        <v>240720000</v>
      </c>
      <c r="AC108">
        <v>113836488</v>
      </c>
      <c r="AD108">
        <v>240720000</v>
      </c>
      <c r="AE108">
        <v>113836488</v>
      </c>
      <c r="AG108">
        <v>98.73</v>
      </c>
      <c r="AH108">
        <v>47.29</v>
      </c>
      <c r="AI108">
        <v>1</v>
      </c>
      <c r="AJ108">
        <v>2.0876830000000002</v>
      </c>
      <c r="AK108">
        <v>0.22800000000000001</v>
      </c>
      <c r="AL108">
        <v>11.38</v>
      </c>
      <c r="AM108">
        <v>11384</v>
      </c>
      <c r="AN108">
        <v>1.2161999999999999</v>
      </c>
      <c r="AO108">
        <v>30</v>
      </c>
      <c r="AP108">
        <v>21.87</v>
      </c>
      <c r="AQ108">
        <v>0.72</v>
      </c>
      <c r="AR108">
        <v>-6.07</v>
      </c>
      <c r="AS108">
        <v>1.95</v>
      </c>
      <c r="AT108">
        <v>20.64</v>
      </c>
      <c r="AU108">
        <v>6666.69</v>
      </c>
      <c r="AV108">
        <v>35.81</v>
      </c>
      <c r="AW108">
        <v>11.58</v>
      </c>
      <c r="AX108">
        <v>8.6999999999999993</v>
      </c>
      <c r="AY108">
        <v>26.817938999999999</v>
      </c>
      <c r="AZ108">
        <v>98.539688999999996</v>
      </c>
      <c r="BA108">
        <v>-11.481137</v>
      </c>
      <c r="BB108">
        <v>-0.40934199999999998</v>
      </c>
      <c r="BC108">
        <v>11.481137</v>
      </c>
      <c r="BD108">
        <v>37.596836000000003</v>
      </c>
      <c r="BE108">
        <v>195.73099400000001</v>
      </c>
      <c r="BF108">
        <v>-8.5663920000000005</v>
      </c>
      <c r="BG108">
        <v>5.5361539999999998</v>
      </c>
      <c r="BH108">
        <v>8.5663920000000005</v>
      </c>
    </row>
    <row r="109" spans="1:60" x14ac:dyDescent="0.25">
      <c r="A109" t="s">
        <v>267</v>
      </c>
      <c r="B109" t="s">
        <v>152</v>
      </c>
      <c r="C109">
        <v>8</v>
      </c>
      <c r="D109" t="s">
        <v>148</v>
      </c>
      <c r="E109" cm="1">
        <f t="array" ref="E109">_xlfn.SWITCH(D109,"QPSK",0.1,"16QAM",0.25,"64QAM",0.5,"256QAM",0.8,"1024QAM",1,"")</f>
        <v>0.25</v>
      </c>
      <c r="F109" cm="1">
        <f t="array" ref="F109">_xlfn.SWITCH(D109,"QPSK",0.05,"16QAM",0.15,"64QAM",0.4,"256QAM",0.75,"1024QAM",1,"")</f>
        <v>0.15</v>
      </c>
      <c r="G109" t="s">
        <v>61</v>
      </c>
      <c r="H109">
        <v>1</v>
      </c>
      <c r="I109" t="s">
        <v>62</v>
      </c>
      <c r="J109">
        <v>2</v>
      </c>
      <c r="K109">
        <v>2</v>
      </c>
      <c r="L109" t="s">
        <v>63</v>
      </c>
      <c r="M109">
        <v>2</v>
      </c>
      <c r="N109">
        <v>0.47849999999999998</v>
      </c>
      <c r="O109">
        <v>0.48220000000000002</v>
      </c>
      <c r="P109">
        <v>5000</v>
      </c>
      <c r="Q109">
        <v>2438</v>
      </c>
      <c r="R109">
        <v>2562</v>
      </c>
      <c r="S109">
        <v>2.0499999999999998</v>
      </c>
      <c r="T109">
        <v>105.09</v>
      </c>
      <c r="W109">
        <v>2414</v>
      </c>
      <c r="X109">
        <v>24</v>
      </c>
      <c r="Y109">
        <v>51.72</v>
      </c>
      <c r="Z109">
        <v>0.98</v>
      </c>
      <c r="AB109">
        <v>120360000</v>
      </c>
      <c r="AC109">
        <v>58109808</v>
      </c>
      <c r="AD109">
        <v>120360000</v>
      </c>
      <c r="AE109">
        <v>58109808</v>
      </c>
      <c r="AF109">
        <v>249600000</v>
      </c>
      <c r="AG109">
        <v>99.02</v>
      </c>
      <c r="AH109">
        <v>48.28</v>
      </c>
      <c r="AI109">
        <v>1</v>
      </c>
      <c r="AJ109">
        <v>2.0508609999999998</v>
      </c>
      <c r="AK109">
        <v>0.23280000000000001</v>
      </c>
      <c r="AL109">
        <v>11.62</v>
      </c>
      <c r="AM109">
        <v>11622</v>
      </c>
      <c r="AN109">
        <v>1.2417</v>
      </c>
      <c r="AO109">
        <v>30</v>
      </c>
      <c r="AP109">
        <v>21.87</v>
      </c>
      <c r="AQ109">
        <v>0.72</v>
      </c>
      <c r="AR109">
        <v>-5.94</v>
      </c>
      <c r="AS109">
        <v>1.97</v>
      </c>
      <c r="AT109">
        <v>21.31</v>
      </c>
      <c r="AU109">
        <v>6666.69</v>
      </c>
      <c r="AV109">
        <v>35.81</v>
      </c>
      <c r="AW109">
        <v>11.65</v>
      </c>
      <c r="AX109">
        <v>8.8000000000000007</v>
      </c>
      <c r="AY109">
        <v>26.610572000000001</v>
      </c>
      <c r="AZ109">
        <v>97.320352</v>
      </c>
      <c r="BA109">
        <v>-11.551546</v>
      </c>
      <c r="BB109">
        <v>-0.51983400000000002</v>
      </c>
      <c r="BC109">
        <v>11.551546</v>
      </c>
      <c r="BD109">
        <v>37.241087999999998</v>
      </c>
      <c r="BE109">
        <v>191.56997000000001</v>
      </c>
      <c r="BF109">
        <v>-8.6410140000000002</v>
      </c>
      <c r="BG109">
        <v>5.3727900000000002</v>
      </c>
      <c r="BH109">
        <v>8.6410140000000002</v>
      </c>
    </row>
    <row r="110" spans="1:60" x14ac:dyDescent="0.25">
      <c r="A110" t="s">
        <v>268</v>
      </c>
      <c r="B110" t="s">
        <v>269</v>
      </c>
      <c r="C110">
        <v>8</v>
      </c>
      <c r="D110" t="s">
        <v>148</v>
      </c>
      <c r="E110" cm="1">
        <f t="array" ref="E110">_xlfn.SWITCH(D110,"QPSK",0.1,"16QAM",0.25,"64QAM",0.5,"256QAM",0.8,"1024QAM",1,"")</f>
        <v>0.25</v>
      </c>
      <c r="F110" cm="1">
        <f t="array" ref="F110">_xlfn.SWITCH(D110,"QPSK",0.05,"16QAM",0.15,"64QAM",0.4,"256QAM",0.75,"1024QAM",1,"")</f>
        <v>0.15</v>
      </c>
      <c r="G110" t="s">
        <v>61</v>
      </c>
      <c r="H110">
        <v>4</v>
      </c>
      <c r="I110" t="s">
        <v>62</v>
      </c>
      <c r="J110">
        <v>2</v>
      </c>
      <c r="K110">
        <v>2</v>
      </c>
      <c r="L110" t="s">
        <v>63</v>
      </c>
      <c r="M110">
        <v>2</v>
      </c>
      <c r="N110">
        <v>0.47849999999999998</v>
      </c>
      <c r="O110">
        <v>0.48220000000000002</v>
      </c>
      <c r="P110">
        <v>10000</v>
      </c>
      <c r="Q110">
        <v>4765</v>
      </c>
      <c r="R110">
        <v>5235</v>
      </c>
      <c r="S110">
        <v>2.1</v>
      </c>
      <c r="T110">
        <v>1.1000000000000001</v>
      </c>
      <c r="W110">
        <v>4709</v>
      </c>
      <c r="X110">
        <v>0</v>
      </c>
      <c r="Y110">
        <v>52.91</v>
      </c>
      <c r="Z110">
        <v>1.18</v>
      </c>
      <c r="AB110">
        <v>240720000</v>
      </c>
      <c r="AC110">
        <v>113355048</v>
      </c>
      <c r="AD110">
        <v>240720000</v>
      </c>
      <c r="AE110">
        <v>113355048</v>
      </c>
      <c r="AG110">
        <v>98.82</v>
      </c>
      <c r="AH110">
        <v>47.09</v>
      </c>
      <c r="AI110">
        <v>1</v>
      </c>
      <c r="AJ110">
        <v>2.0986359999999999</v>
      </c>
      <c r="AK110">
        <v>0.2271</v>
      </c>
      <c r="AL110">
        <v>11.34</v>
      </c>
      <c r="AM110">
        <v>11336</v>
      </c>
      <c r="AN110">
        <v>1.2111000000000001</v>
      </c>
      <c r="AO110">
        <v>30</v>
      </c>
      <c r="AP110">
        <v>21.87</v>
      </c>
      <c r="AQ110">
        <v>0.72</v>
      </c>
      <c r="AR110">
        <v>-6.07</v>
      </c>
      <c r="AS110">
        <v>1.95</v>
      </c>
      <c r="AT110">
        <v>20.75</v>
      </c>
      <c r="AU110">
        <v>6666.69</v>
      </c>
      <c r="AV110">
        <v>35.81</v>
      </c>
      <c r="AW110">
        <v>11.59</v>
      </c>
      <c r="AX110">
        <v>8.6999999999999993</v>
      </c>
      <c r="AY110">
        <v>26.815835</v>
      </c>
      <c r="AZ110">
        <v>98.392949999999999</v>
      </c>
      <c r="BA110">
        <v>-11.481909999999999</v>
      </c>
      <c r="BB110">
        <v>-0.42137400000000003</v>
      </c>
      <c r="BC110">
        <v>11.481909999999999</v>
      </c>
      <c r="BD110">
        <v>37.595463000000002</v>
      </c>
      <c r="BE110">
        <v>195.89484899999999</v>
      </c>
      <c r="BF110">
        <v>-8.5665340000000008</v>
      </c>
      <c r="BG110">
        <v>5.5457970000000003</v>
      </c>
      <c r="BH110">
        <v>8.5665340000000008</v>
      </c>
    </row>
    <row r="111" spans="1:60" x14ac:dyDescent="0.25">
      <c r="A111" t="s">
        <v>270</v>
      </c>
      <c r="B111" t="s">
        <v>183</v>
      </c>
      <c r="C111">
        <v>8</v>
      </c>
      <c r="D111" t="s">
        <v>148</v>
      </c>
      <c r="E111" cm="1">
        <f t="array" ref="E111">_xlfn.SWITCH(D111,"QPSK",0.1,"16QAM",0.25,"64QAM",0.5,"256QAM",0.8,"1024QAM",1,"")</f>
        <v>0.25</v>
      </c>
      <c r="F111" cm="1">
        <f t="array" ref="F111">_xlfn.SWITCH(D111,"QPSK",0.05,"16QAM",0.15,"64QAM",0.4,"256QAM",0.75,"1024QAM",1,"")</f>
        <v>0.15</v>
      </c>
      <c r="G111" t="s">
        <v>61</v>
      </c>
      <c r="H111">
        <v>4</v>
      </c>
      <c r="I111" t="s">
        <v>62</v>
      </c>
      <c r="J111">
        <v>2</v>
      </c>
      <c r="K111">
        <v>2</v>
      </c>
      <c r="L111" t="s">
        <v>63</v>
      </c>
      <c r="M111">
        <v>2</v>
      </c>
      <c r="N111">
        <v>0.47849999999999998</v>
      </c>
      <c r="O111">
        <v>0.48220000000000002</v>
      </c>
      <c r="P111">
        <v>5000</v>
      </c>
      <c r="Q111">
        <v>2431</v>
      </c>
      <c r="R111">
        <v>2569</v>
      </c>
      <c r="S111">
        <v>2.06</v>
      </c>
      <c r="T111">
        <v>105.68</v>
      </c>
      <c r="W111">
        <v>2414</v>
      </c>
      <c r="X111">
        <v>17</v>
      </c>
      <c r="Y111">
        <v>51.72</v>
      </c>
      <c r="Z111">
        <v>0.7</v>
      </c>
      <c r="AB111">
        <v>120360000</v>
      </c>
      <c r="AC111">
        <v>58109808</v>
      </c>
      <c r="AD111">
        <v>120360000</v>
      </c>
      <c r="AE111">
        <v>58109808</v>
      </c>
      <c r="AF111">
        <v>249600000</v>
      </c>
      <c r="AG111">
        <v>99.3</v>
      </c>
      <c r="AH111">
        <v>48.28</v>
      </c>
      <c r="AI111">
        <v>1</v>
      </c>
      <c r="AJ111">
        <v>2.0567669999999998</v>
      </c>
      <c r="AK111">
        <v>0.23280000000000001</v>
      </c>
      <c r="AL111">
        <v>11.62</v>
      </c>
      <c r="AM111">
        <v>11622</v>
      </c>
      <c r="AN111">
        <v>1.2417</v>
      </c>
      <c r="AO111">
        <v>30</v>
      </c>
      <c r="AP111">
        <v>21.87</v>
      </c>
      <c r="AQ111">
        <v>0.72</v>
      </c>
      <c r="AR111">
        <v>-5.94</v>
      </c>
      <c r="AS111">
        <v>1.97</v>
      </c>
      <c r="AT111">
        <v>21.96</v>
      </c>
      <c r="AU111">
        <v>6666.69</v>
      </c>
      <c r="AV111">
        <v>35.81</v>
      </c>
      <c r="AW111">
        <v>11.66</v>
      </c>
      <c r="AX111">
        <v>8.8000000000000007</v>
      </c>
      <c r="AY111">
        <v>26.606586</v>
      </c>
      <c r="AZ111">
        <v>97.163988000000003</v>
      </c>
      <c r="BA111">
        <v>-11.552618000000001</v>
      </c>
      <c r="BB111">
        <v>-0.52509799999999995</v>
      </c>
      <c r="BC111">
        <v>11.552618000000001</v>
      </c>
      <c r="BD111">
        <v>37.213737999999999</v>
      </c>
      <c r="BE111">
        <v>191.70793</v>
      </c>
      <c r="BF111">
        <v>-8.6471239999999998</v>
      </c>
      <c r="BG111">
        <v>5.3784539999999996</v>
      </c>
      <c r="BH111">
        <v>8.6471239999999998</v>
      </c>
    </row>
    <row r="112" spans="1:60" x14ac:dyDescent="0.25">
      <c r="A112" t="s">
        <v>271</v>
      </c>
      <c r="B112" t="s">
        <v>272</v>
      </c>
      <c r="C112">
        <v>8</v>
      </c>
      <c r="D112" t="s">
        <v>148</v>
      </c>
      <c r="E112" cm="1">
        <f t="array" ref="E112">_xlfn.SWITCH(D112,"QPSK",0.1,"16QAM",0.25,"64QAM",0.5,"256QAM",0.8,"1024QAM",1,"")</f>
        <v>0.25</v>
      </c>
      <c r="F112" cm="1">
        <f t="array" ref="F112">_xlfn.SWITCH(D112,"QPSK",0.05,"16QAM",0.15,"64QAM",0.4,"256QAM",0.75,"1024QAM",1,"")</f>
        <v>0.15</v>
      </c>
      <c r="G112" t="s">
        <v>61</v>
      </c>
      <c r="H112">
        <v>8</v>
      </c>
      <c r="I112" t="s">
        <v>62</v>
      </c>
      <c r="J112">
        <v>2</v>
      </c>
      <c r="K112">
        <v>2</v>
      </c>
      <c r="L112" t="s">
        <v>63</v>
      </c>
      <c r="M112">
        <v>2</v>
      </c>
      <c r="N112">
        <v>0.47849999999999998</v>
      </c>
      <c r="O112">
        <v>0.48220000000000002</v>
      </c>
      <c r="P112">
        <v>10000</v>
      </c>
      <c r="Q112">
        <v>4754</v>
      </c>
      <c r="R112">
        <v>5246</v>
      </c>
      <c r="S112">
        <v>2.1</v>
      </c>
      <c r="T112">
        <v>1.1000000000000001</v>
      </c>
      <c r="W112">
        <v>4715</v>
      </c>
      <c r="X112">
        <v>0</v>
      </c>
      <c r="Y112">
        <v>52.85</v>
      </c>
      <c r="Z112">
        <v>0.82</v>
      </c>
      <c r="AB112">
        <v>240720000</v>
      </c>
      <c r="AC112">
        <v>113499480</v>
      </c>
      <c r="AD112">
        <v>240720000</v>
      </c>
      <c r="AE112">
        <v>113499480</v>
      </c>
      <c r="AG112">
        <v>99.18</v>
      </c>
      <c r="AH112">
        <v>47.15</v>
      </c>
      <c r="AI112">
        <v>1</v>
      </c>
      <c r="AJ112">
        <v>2.1034920000000001</v>
      </c>
      <c r="AK112">
        <v>0.22739999999999999</v>
      </c>
      <c r="AL112">
        <v>11.35</v>
      </c>
      <c r="AM112">
        <v>11350</v>
      </c>
      <c r="AN112">
        <v>1.2125999999999999</v>
      </c>
      <c r="AO112">
        <v>30</v>
      </c>
      <c r="AP112">
        <v>21.87</v>
      </c>
      <c r="AQ112">
        <v>0.72</v>
      </c>
      <c r="AR112">
        <v>-6.07</v>
      </c>
      <c r="AS112">
        <v>1.95</v>
      </c>
      <c r="AT112">
        <v>20.85</v>
      </c>
      <c r="AU112">
        <v>6666.69</v>
      </c>
      <c r="AV112">
        <v>35.81</v>
      </c>
      <c r="AW112">
        <v>11.58</v>
      </c>
      <c r="AX112">
        <v>8.6999999999999993</v>
      </c>
      <c r="AY112">
        <v>26.821182</v>
      </c>
      <c r="AZ112">
        <v>98.698725999999994</v>
      </c>
      <c r="BA112">
        <v>-11.480216</v>
      </c>
      <c r="BB112">
        <v>-0.39634999999999998</v>
      </c>
      <c r="BC112">
        <v>11.480216</v>
      </c>
      <c r="BD112">
        <v>37.591717000000003</v>
      </c>
      <c r="BE112">
        <v>195.525353</v>
      </c>
      <c r="BF112">
        <v>-8.567145</v>
      </c>
      <c r="BG112">
        <v>5.5288940000000002</v>
      </c>
      <c r="BH112">
        <v>8.567145</v>
      </c>
    </row>
    <row r="113" spans="1:60" x14ac:dyDescent="0.25">
      <c r="A113" t="s">
        <v>273</v>
      </c>
      <c r="B113" t="s">
        <v>274</v>
      </c>
      <c r="C113">
        <v>0</v>
      </c>
      <c r="D113" t="s">
        <v>275</v>
      </c>
      <c r="E113" cm="1">
        <f t="array" ref="E113">_xlfn.SWITCH(D113,"QPSK",0.1,"16QAM",0.25,"64QAM",0.5,"256QAM",0.8,"1024QAM",1,"")</f>
        <v>0.8</v>
      </c>
      <c r="F113" cm="1">
        <f t="array" ref="F113">_xlfn.SWITCH(D113,"QPSK",0.05,"16QAM",0.15,"64QAM",0.4,"256QAM",0.75,"1024QAM",1,"")</f>
        <v>0.75</v>
      </c>
      <c r="G113" t="s">
        <v>61</v>
      </c>
      <c r="H113">
        <v>1</v>
      </c>
      <c r="I113" t="s">
        <v>62</v>
      </c>
      <c r="J113">
        <v>2</v>
      </c>
      <c r="K113">
        <v>2</v>
      </c>
      <c r="L113" t="s">
        <v>63</v>
      </c>
      <c r="M113">
        <v>2</v>
      </c>
      <c r="N113">
        <v>0.47849999999999998</v>
      </c>
      <c r="O113">
        <v>0.48249999999999998</v>
      </c>
      <c r="P113">
        <v>10000</v>
      </c>
      <c r="Q113">
        <v>2500</v>
      </c>
      <c r="R113">
        <v>7500</v>
      </c>
      <c r="S113">
        <v>4</v>
      </c>
      <c r="T113">
        <v>3</v>
      </c>
      <c r="W113">
        <v>0</v>
      </c>
      <c r="X113">
        <v>0</v>
      </c>
      <c r="Y113">
        <v>100</v>
      </c>
      <c r="Z113">
        <v>100</v>
      </c>
      <c r="AB113">
        <v>481680000</v>
      </c>
      <c r="AC113">
        <v>0</v>
      </c>
      <c r="AD113">
        <v>481680000</v>
      </c>
      <c r="AE113">
        <v>0</v>
      </c>
      <c r="AG113">
        <v>0</v>
      </c>
      <c r="AH113">
        <v>0</v>
      </c>
      <c r="AI113">
        <v>1</v>
      </c>
      <c r="AJ113">
        <v>4</v>
      </c>
      <c r="AK113">
        <v>0</v>
      </c>
      <c r="AL113">
        <v>0</v>
      </c>
      <c r="AM113">
        <v>0</v>
      </c>
      <c r="AN113">
        <v>0</v>
      </c>
      <c r="AO113">
        <v>30</v>
      </c>
      <c r="AP113">
        <v>21.87</v>
      </c>
      <c r="AQ113">
        <v>0.72</v>
      </c>
      <c r="AR113">
        <v>-5.86</v>
      </c>
      <c r="AS113">
        <v>1.82</v>
      </c>
      <c r="AT113">
        <v>10.210000000000001</v>
      </c>
      <c r="AU113">
        <v>6666.69</v>
      </c>
      <c r="AV113">
        <v>35.81</v>
      </c>
      <c r="AW113">
        <v>19.95</v>
      </c>
      <c r="AX113">
        <v>16.64</v>
      </c>
      <c r="AY113">
        <v>16.795321000000001</v>
      </c>
      <c r="AZ113">
        <v>143.98476600000001</v>
      </c>
      <c r="BA113">
        <v>-15.56077</v>
      </c>
      <c r="BB113">
        <v>3.0274969999999999</v>
      </c>
      <c r="BC113">
        <v>15.56077</v>
      </c>
      <c r="BD113">
        <v>25.129169999999998</v>
      </c>
      <c r="BE113">
        <v>246.266976</v>
      </c>
      <c r="BF113">
        <v>-12.104132</v>
      </c>
      <c r="BG113">
        <v>7.5575640000000002</v>
      </c>
      <c r="BH113">
        <v>12.104132</v>
      </c>
    </row>
    <row r="114" spans="1:60" x14ac:dyDescent="0.25">
      <c r="A114" t="s">
        <v>276</v>
      </c>
      <c r="B114" t="s">
        <v>277</v>
      </c>
      <c r="C114">
        <v>0</v>
      </c>
      <c r="D114" t="s">
        <v>275</v>
      </c>
      <c r="E114" cm="1">
        <f t="array" ref="E114">_xlfn.SWITCH(D114,"QPSK",0.1,"16QAM",0.25,"64QAM",0.5,"256QAM",0.8,"1024QAM",1,"")</f>
        <v>0.8</v>
      </c>
      <c r="F114" cm="1">
        <f t="array" ref="F114">_xlfn.SWITCH(D114,"QPSK",0.05,"16QAM",0.15,"64QAM",0.4,"256QAM",0.75,"1024QAM",1,"")</f>
        <v>0.75</v>
      </c>
      <c r="G114" t="s">
        <v>61</v>
      </c>
      <c r="H114">
        <v>4</v>
      </c>
      <c r="I114" t="s">
        <v>62</v>
      </c>
      <c r="J114">
        <v>2</v>
      </c>
      <c r="K114">
        <v>2</v>
      </c>
      <c r="L114" t="s">
        <v>63</v>
      </c>
      <c r="M114">
        <v>2</v>
      </c>
      <c r="N114">
        <v>0.47849999999999998</v>
      </c>
      <c r="O114">
        <v>0.48249999999999998</v>
      </c>
      <c r="P114">
        <v>10000</v>
      </c>
      <c r="Q114">
        <v>2500</v>
      </c>
      <c r="R114">
        <v>7500</v>
      </c>
      <c r="S114">
        <v>4</v>
      </c>
      <c r="T114">
        <v>3</v>
      </c>
      <c r="W114">
        <v>0</v>
      </c>
      <c r="X114">
        <v>0</v>
      </c>
      <c r="Y114">
        <v>100</v>
      </c>
      <c r="Z114">
        <v>100</v>
      </c>
      <c r="AB114">
        <v>481680000</v>
      </c>
      <c r="AC114">
        <v>0</v>
      </c>
      <c r="AD114">
        <v>481680000</v>
      </c>
      <c r="AE114">
        <v>0</v>
      </c>
      <c r="AG114">
        <v>0</v>
      </c>
      <c r="AH114">
        <v>0</v>
      </c>
      <c r="AI114">
        <v>1</v>
      </c>
      <c r="AJ114">
        <v>4</v>
      </c>
      <c r="AK114">
        <v>0</v>
      </c>
      <c r="AL114">
        <v>0</v>
      </c>
      <c r="AM114">
        <v>0</v>
      </c>
      <c r="AN114">
        <v>0</v>
      </c>
      <c r="AO114">
        <v>30</v>
      </c>
      <c r="AP114">
        <v>21.87</v>
      </c>
      <c r="AQ114">
        <v>0.72</v>
      </c>
      <c r="AR114">
        <v>-5.85</v>
      </c>
      <c r="AS114">
        <v>1.82</v>
      </c>
      <c r="AT114">
        <v>10.199999999999999</v>
      </c>
      <c r="AU114">
        <v>6666.69</v>
      </c>
      <c r="AV114">
        <v>35.81</v>
      </c>
      <c r="AW114">
        <v>19.95</v>
      </c>
      <c r="AX114">
        <v>16.649999999999999</v>
      </c>
      <c r="AY114">
        <v>16.792663000000001</v>
      </c>
      <c r="AZ114">
        <v>143.98803000000001</v>
      </c>
      <c r="BA114">
        <v>-15.562286</v>
      </c>
      <c r="BB114">
        <v>3.0272260000000002</v>
      </c>
      <c r="BC114">
        <v>15.562286</v>
      </c>
      <c r="BD114">
        <v>25.128881</v>
      </c>
      <c r="BE114">
        <v>246.05493999999999</v>
      </c>
      <c r="BF114">
        <v>-12.103617</v>
      </c>
      <c r="BG114">
        <v>7.5519720000000001</v>
      </c>
      <c r="BH114">
        <v>12.103617</v>
      </c>
    </row>
    <row r="115" spans="1:60" x14ac:dyDescent="0.25">
      <c r="A115" t="s">
        <v>278</v>
      </c>
      <c r="B115" t="s">
        <v>279</v>
      </c>
      <c r="C115">
        <v>0</v>
      </c>
      <c r="D115" t="s">
        <v>275</v>
      </c>
      <c r="E115" cm="1">
        <f t="array" ref="E115">_xlfn.SWITCH(D115,"QPSK",0.1,"16QAM",0.25,"64QAM",0.5,"256QAM",0.8,"1024QAM",1,"")</f>
        <v>0.8</v>
      </c>
      <c r="F115" cm="1">
        <f t="array" ref="F115">_xlfn.SWITCH(D115,"QPSK",0.05,"16QAM",0.15,"64QAM",0.4,"256QAM",0.75,"1024QAM",1,"")</f>
        <v>0.75</v>
      </c>
      <c r="G115" t="s">
        <v>61</v>
      </c>
      <c r="H115">
        <v>8</v>
      </c>
      <c r="I115" t="s">
        <v>62</v>
      </c>
      <c r="J115">
        <v>2</v>
      </c>
      <c r="K115">
        <v>2</v>
      </c>
      <c r="L115" t="s">
        <v>63</v>
      </c>
      <c r="M115">
        <v>2</v>
      </c>
      <c r="N115">
        <v>0.47849999999999998</v>
      </c>
      <c r="O115">
        <v>0.48249999999999998</v>
      </c>
      <c r="P115">
        <v>10000</v>
      </c>
      <c r="Q115">
        <v>2504</v>
      </c>
      <c r="R115">
        <v>7496</v>
      </c>
      <c r="S115">
        <v>3.99</v>
      </c>
      <c r="T115">
        <v>2.99</v>
      </c>
      <c r="W115">
        <v>0</v>
      </c>
      <c r="X115">
        <v>0</v>
      </c>
      <c r="Y115">
        <v>100</v>
      </c>
      <c r="Z115">
        <v>100</v>
      </c>
      <c r="AB115">
        <v>481680000</v>
      </c>
      <c r="AC115">
        <v>0</v>
      </c>
      <c r="AD115">
        <v>481680000</v>
      </c>
      <c r="AE115">
        <v>0</v>
      </c>
      <c r="AG115">
        <v>0</v>
      </c>
      <c r="AH115">
        <v>0</v>
      </c>
      <c r="AI115">
        <v>1</v>
      </c>
      <c r="AJ115">
        <v>3.9936099999999999</v>
      </c>
      <c r="AK115">
        <v>0</v>
      </c>
      <c r="AL115">
        <v>0</v>
      </c>
      <c r="AM115">
        <v>0</v>
      </c>
      <c r="AN115">
        <v>0</v>
      </c>
      <c r="AO115">
        <v>30</v>
      </c>
      <c r="AP115">
        <v>21.87</v>
      </c>
      <c r="AQ115">
        <v>0.72</v>
      </c>
      <c r="AR115">
        <v>-5.86</v>
      </c>
      <c r="AS115">
        <v>1.82</v>
      </c>
      <c r="AT115">
        <v>10.09</v>
      </c>
      <c r="AU115">
        <v>6666.69</v>
      </c>
      <c r="AV115">
        <v>35.81</v>
      </c>
      <c r="AW115">
        <v>19.95</v>
      </c>
      <c r="AX115">
        <v>16.64</v>
      </c>
      <c r="AY115">
        <v>16.793469999999999</v>
      </c>
      <c r="AZ115">
        <v>144.114645</v>
      </c>
      <c r="BA115">
        <v>-15.56246</v>
      </c>
      <c r="BB115">
        <v>3.0322529999999999</v>
      </c>
      <c r="BC115">
        <v>15.56246</v>
      </c>
      <c r="BD115">
        <v>25.128335</v>
      </c>
      <c r="BE115">
        <v>246.496814</v>
      </c>
      <c r="BF115">
        <v>-12.104641000000001</v>
      </c>
      <c r="BG115">
        <v>7.5641559999999997</v>
      </c>
      <c r="BH115">
        <v>12.104641000000001</v>
      </c>
    </row>
    <row r="116" spans="1:60" x14ac:dyDescent="0.25">
      <c r="A116" t="s">
        <v>280</v>
      </c>
      <c r="B116" t="s">
        <v>281</v>
      </c>
      <c r="C116">
        <v>10</v>
      </c>
      <c r="D116" t="s">
        <v>275</v>
      </c>
      <c r="E116" cm="1">
        <f t="array" ref="E116">_xlfn.SWITCH(D116,"QPSK",0.1,"16QAM",0.25,"64QAM",0.5,"256QAM",0.8,"1024QAM",1,"")</f>
        <v>0.8</v>
      </c>
      <c r="F116" cm="1">
        <f t="array" ref="F116">_xlfn.SWITCH(D116,"QPSK",0.05,"16QAM",0.15,"64QAM",0.4,"256QAM",0.75,"1024QAM",1,"")</f>
        <v>0.75</v>
      </c>
      <c r="G116" t="s">
        <v>61</v>
      </c>
      <c r="H116">
        <v>1</v>
      </c>
      <c r="I116" t="s">
        <v>62</v>
      </c>
      <c r="J116">
        <v>2</v>
      </c>
      <c r="K116">
        <v>2</v>
      </c>
      <c r="L116" t="s">
        <v>63</v>
      </c>
      <c r="M116">
        <v>2</v>
      </c>
      <c r="N116">
        <v>0.47849999999999998</v>
      </c>
      <c r="O116">
        <v>0.48249999999999998</v>
      </c>
      <c r="P116">
        <v>10000</v>
      </c>
      <c r="Q116">
        <v>2840</v>
      </c>
      <c r="R116">
        <v>7160</v>
      </c>
      <c r="S116">
        <v>3.52</v>
      </c>
      <c r="T116">
        <v>2.52</v>
      </c>
      <c r="W116">
        <v>2231</v>
      </c>
      <c r="X116">
        <v>0</v>
      </c>
      <c r="Y116">
        <v>77.69</v>
      </c>
      <c r="Z116">
        <v>21.44</v>
      </c>
      <c r="AB116">
        <v>481680000</v>
      </c>
      <c r="AC116">
        <v>107462808</v>
      </c>
      <c r="AD116">
        <v>481680000</v>
      </c>
      <c r="AE116">
        <v>107462808</v>
      </c>
      <c r="AG116">
        <v>78.56</v>
      </c>
      <c r="AH116">
        <v>22.31</v>
      </c>
      <c r="AI116">
        <v>1</v>
      </c>
      <c r="AJ116">
        <v>3.5211269999999999</v>
      </c>
      <c r="AK116">
        <v>0.1076</v>
      </c>
      <c r="AL116">
        <v>10.75</v>
      </c>
      <c r="AM116">
        <v>10746</v>
      </c>
      <c r="AN116">
        <v>1.1480999999999999</v>
      </c>
      <c r="AO116">
        <v>30</v>
      </c>
      <c r="AP116">
        <v>21.87</v>
      </c>
      <c r="AQ116">
        <v>0.72</v>
      </c>
      <c r="AR116">
        <v>-6.07</v>
      </c>
      <c r="AS116">
        <v>1.96</v>
      </c>
      <c r="AT116">
        <v>22.11</v>
      </c>
      <c r="AU116">
        <v>6666.69</v>
      </c>
      <c r="AV116">
        <v>35.81</v>
      </c>
      <c r="AW116">
        <v>21.15</v>
      </c>
      <c r="AX116">
        <v>19.100000000000001</v>
      </c>
      <c r="AY116">
        <v>9.7418119999999995</v>
      </c>
      <c r="AZ116">
        <v>82.941883000000004</v>
      </c>
      <c r="BA116">
        <v>-20.320004000000001</v>
      </c>
      <c r="BB116">
        <v>-2.133559</v>
      </c>
      <c r="BC116">
        <v>20.320004000000001</v>
      </c>
      <c r="BD116">
        <v>18.066388</v>
      </c>
      <c r="BE116">
        <v>164.31065699999999</v>
      </c>
      <c r="BF116">
        <v>-15.080921999999999</v>
      </c>
      <c r="BG116">
        <v>4.0502969999999996</v>
      </c>
      <c r="BH116">
        <v>15.080921999999999</v>
      </c>
    </row>
    <row r="117" spans="1:60" x14ac:dyDescent="0.25">
      <c r="A117" t="s">
        <v>282</v>
      </c>
      <c r="B117" t="s">
        <v>283</v>
      </c>
      <c r="C117">
        <v>10</v>
      </c>
      <c r="D117" t="s">
        <v>275</v>
      </c>
      <c r="E117" cm="1">
        <f t="array" ref="E117">_xlfn.SWITCH(D117,"QPSK",0.1,"16QAM",0.25,"64QAM",0.5,"256QAM",0.8,"1024QAM",1,"")</f>
        <v>0.8</v>
      </c>
      <c r="F117" cm="1">
        <f t="array" ref="F117">_xlfn.SWITCH(D117,"QPSK",0.05,"16QAM",0.15,"64QAM",0.4,"256QAM",0.75,"1024QAM",1,"")</f>
        <v>0.75</v>
      </c>
      <c r="G117" t="s">
        <v>61</v>
      </c>
      <c r="H117">
        <v>1</v>
      </c>
      <c r="I117" t="s">
        <v>62</v>
      </c>
      <c r="J117">
        <v>2</v>
      </c>
      <c r="K117">
        <v>2</v>
      </c>
      <c r="L117" t="s">
        <v>63</v>
      </c>
      <c r="M117">
        <v>2</v>
      </c>
      <c r="N117">
        <v>0.47849999999999998</v>
      </c>
      <c r="O117">
        <v>0.48249999999999998</v>
      </c>
      <c r="P117">
        <v>10000</v>
      </c>
      <c r="Q117">
        <v>2839</v>
      </c>
      <c r="R117">
        <v>7161</v>
      </c>
      <c r="S117">
        <v>3.52</v>
      </c>
      <c r="T117">
        <v>2.52</v>
      </c>
      <c r="W117">
        <v>2237</v>
      </c>
      <c r="X117">
        <v>0</v>
      </c>
      <c r="Y117">
        <v>77.63</v>
      </c>
      <c r="Z117">
        <v>21.2</v>
      </c>
      <c r="AB117">
        <v>481680000</v>
      </c>
      <c r="AC117">
        <v>107751816</v>
      </c>
      <c r="AD117">
        <v>481680000</v>
      </c>
      <c r="AE117">
        <v>107751816</v>
      </c>
      <c r="AG117">
        <v>78.8</v>
      </c>
      <c r="AH117">
        <v>22.37</v>
      </c>
      <c r="AI117">
        <v>1</v>
      </c>
      <c r="AJ117">
        <v>3.522367</v>
      </c>
      <c r="AK117">
        <v>0.1079</v>
      </c>
      <c r="AL117">
        <v>10.78</v>
      </c>
      <c r="AM117">
        <v>10775</v>
      </c>
      <c r="AN117">
        <v>1.1512</v>
      </c>
      <c r="AO117">
        <v>30</v>
      </c>
      <c r="AP117">
        <v>21.87</v>
      </c>
      <c r="AQ117">
        <v>0.72</v>
      </c>
      <c r="AR117">
        <v>-6.07</v>
      </c>
      <c r="AS117">
        <v>1.96</v>
      </c>
      <c r="AT117">
        <v>22.06</v>
      </c>
      <c r="AU117">
        <v>6666.69</v>
      </c>
      <c r="AV117">
        <v>35.81</v>
      </c>
      <c r="AW117">
        <v>21.15</v>
      </c>
      <c r="AX117">
        <v>19.100000000000001</v>
      </c>
      <c r="AY117">
        <v>9.7414039999999993</v>
      </c>
      <c r="AZ117">
        <v>83.192403999999996</v>
      </c>
      <c r="BA117">
        <v>-20.320125999999998</v>
      </c>
      <c r="BB117">
        <v>-2.111891</v>
      </c>
      <c r="BC117">
        <v>20.320125999999998</v>
      </c>
      <c r="BD117">
        <v>18.072220000000002</v>
      </c>
      <c r="BE117">
        <v>164.57949300000001</v>
      </c>
      <c r="BF117">
        <v>-15.078702</v>
      </c>
      <c r="BG117">
        <v>4.0634110000000003</v>
      </c>
      <c r="BH117">
        <v>15.078702</v>
      </c>
    </row>
    <row r="118" spans="1:60" x14ac:dyDescent="0.25">
      <c r="A118" t="s">
        <v>284</v>
      </c>
      <c r="B118" t="s">
        <v>285</v>
      </c>
      <c r="C118">
        <v>10</v>
      </c>
      <c r="D118" t="s">
        <v>275</v>
      </c>
      <c r="E118" cm="1">
        <f t="array" ref="E118">_xlfn.SWITCH(D118,"QPSK",0.1,"16QAM",0.25,"64QAM",0.5,"256QAM",0.8,"1024QAM",1,"")</f>
        <v>0.8</v>
      </c>
      <c r="F118" cm="1">
        <f t="array" ref="F118">_xlfn.SWITCH(D118,"QPSK",0.05,"16QAM",0.15,"64QAM",0.4,"256QAM",0.75,"1024QAM",1,"")</f>
        <v>0.75</v>
      </c>
      <c r="G118" t="s">
        <v>61</v>
      </c>
      <c r="H118">
        <v>4</v>
      </c>
      <c r="I118" t="s">
        <v>62</v>
      </c>
      <c r="J118">
        <v>2</v>
      </c>
      <c r="K118">
        <v>2</v>
      </c>
      <c r="L118" t="s">
        <v>63</v>
      </c>
      <c r="M118">
        <v>2</v>
      </c>
      <c r="N118">
        <v>0.47849999999999998</v>
      </c>
      <c r="O118">
        <v>0.48249999999999998</v>
      </c>
      <c r="P118">
        <v>10000</v>
      </c>
      <c r="Q118">
        <v>2808</v>
      </c>
      <c r="R118">
        <v>7192</v>
      </c>
      <c r="S118">
        <v>3.56</v>
      </c>
      <c r="T118">
        <v>2.56</v>
      </c>
      <c r="W118">
        <v>2231</v>
      </c>
      <c r="X118">
        <v>0</v>
      </c>
      <c r="Y118">
        <v>77.69</v>
      </c>
      <c r="Z118">
        <v>20.55</v>
      </c>
      <c r="AB118">
        <v>481680000</v>
      </c>
      <c r="AC118">
        <v>107462808</v>
      </c>
      <c r="AD118">
        <v>481680000</v>
      </c>
      <c r="AE118">
        <v>107462808</v>
      </c>
      <c r="AG118">
        <v>79.45</v>
      </c>
      <c r="AH118">
        <v>22.31</v>
      </c>
      <c r="AI118">
        <v>1</v>
      </c>
      <c r="AJ118">
        <v>3.5612539999999999</v>
      </c>
      <c r="AK118">
        <v>0.1076</v>
      </c>
      <c r="AL118">
        <v>10.75</v>
      </c>
      <c r="AM118">
        <v>10746</v>
      </c>
      <c r="AN118">
        <v>1.1480999999999999</v>
      </c>
      <c r="AO118">
        <v>30</v>
      </c>
      <c r="AP118">
        <v>21.87</v>
      </c>
      <c r="AQ118">
        <v>0.72</v>
      </c>
      <c r="AR118">
        <v>-6.07</v>
      </c>
      <c r="AS118">
        <v>1.96</v>
      </c>
      <c r="AT118">
        <v>22.04</v>
      </c>
      <c r="AU118">
        <v>6666.69</v>
      </c>
      <c r="AV118">
        <v>35.81</v>
      </c>
      <c r="AW118">
        <v>21.15</v>
      </c>
      <c r="AX118">
        <v>19.100000000000001</v>
      </c>
      <c r="AY118">
        <v>9.7464429999999993</v>
      </c>
      <c r="AZ118">
        <v>83.019288000000003</v>
      </c>
      <c r="BA118">
        <v>-20.315366000000001</v>
      </c>
      <c r="BB118">
        <v>-2.1234190000000002</v>
      </c>
      <c r="BC118">
        <v>20.315366000000001</v>
      </c>
      <c r="BD118">
        <v>18.07931</v>
      </c>
      <c r="BE118">
        <v>164.97906800000001</v>
      </c>
      <c r="BF118">
        <v>-15.075987</v>
      </c>
      <c r="BG118">
        <v>4.0845149999999997</v>
      </c>
      <c r="BH118">
        <v>15.075987</v>
      </c>
    </row>
    <row r="119" spans="1:60" x14ac:dyDescent="0.25">
      <c r="A119" t="s">
        <v>286</v>
      </c>
      <c r="B119" t="s">
        <v>287</v>
      </c>
      <c r="C119">
        <v>10</v>
      </c>
      <c r="D119" t="s">
        <v>275</v>
      </c>
      <c r="E119" cm="1">
        <f t="array" ref="E119">_xlfn.SWITCH(D119,"QPSK",0.1,"16QAM",0.25,"64QAM",0.5,"256QAM",0.8,"1024QAM",1,"")</f>
        <v>0.8</v>
      </c>
      <c r="F119" cm="1">
        <f t="array" ref="F119">_xlfn.SWITCH(D119,"QPSK",0.05,"16QAM",0.15,"64QAM",0.4,"256QAM",0.75,"1024QAM",1,"")</f>
        <v>0.75</v>
      </c>
      <c r="G119" t="s">
        <v>61</v>
      </c>
      <c r="H119">
        <v>4</v>
      </c>
      <c r="I119" t="s">
        <v>62</v>
      </c>
      <c r="J119">
        <v>2</v>
      </c>
      <c r="K119">
        <v>2</v>
      </c>
      <c r="L119" t="s">
        <v>63</v>
      </c>
      <c r="M119">
        <v>2</v>
      </c>
      <c r="N119">
        <v>0.47849999999999998</v>
      </c>
      <c r="O119">
        <v>0.48249999999999998</v>
      </c>
      <c r="P119">
        <v>10000</v>
      </c>
      <c r="Q119">
        <v>2815</v>
      </c>
      <c r="R119">
        <v>7185</v>
      </c>
      <c r="S119">
        <v>3.55</v>
      </c>
      <c r="T119">
        <v>2.5499999999999998</v>
      </c>
      <c r="W119">
        <v>2246</v>
      </c>
      <c r="X119">
        <v>0</v>
      </c>
      <c r="Y119">
        <v>77.540000000000006</v>
      </c>
      <c r="Z119">
        <v>20.21</v>
      </c>
      <c r="AB119">
        <v>481680000</v>
      </c>
      <c r="AC119">
        <v>108185328</v>
      </c>
      <c r="AD119">
        <v>481680000</v>
      </c>
      <c r="AE119">
        <v>108185328</v>
      </c>
      <c r="AG119">
        <v>79.790000000000006</v>
      </c>
      <c r="AH119">
        <v>22.46</v>
      </c>
      <c r="AI119">
        <v>1</v>
      </c>
      <c r="AJ119">
        <v>3.5523980000000002</v>
      </c>
      <c r="AK119">
        <v>0.1084</v>
      </c>
      <c r="AL119">
        <v>10.82</v>
      </c>
      <c r="AM119">
        <v>10819</v>
      </c>
      <c r="AN119">
        <v>1.1557999999999999</v>
      </c>
      <c r="AO119">
        <v>30</v>
      </c>
      <c r="AP119">
        <v>21.87</v>
      </c>
      <c r="AQ119">
        <v>0.72</v>
      </c>
      <c r="AR119">
        <v>-6.07</v>
      </c>
      <c r="AS119">
        <v>1.96</v>
      </c>
      <c r="AT119">
        <v>21.92</v>
      </c>
      <c r="AU119">
        <v>6666.69</v>
      </c>
      <c r="AV119">
        <v>35.81</v>
      </c>
      <c r="AW119">
        <v>21.15</v>
      </c>
      <c r="AX119">
        <v>19.100000000000001</v>
      </c>
      <c r="AY119">
        <v>9.7415660000000006</v>
      </c>
      <c r="AZ119">
        <v>82.810466000000005</v>
      </c>
      <c r="BA119">
        <v>-20.320098000000002</v>
      </c>
      <c r="BB119">
        <v>-2.1479050000000002</v>
      </c>
      <c r="BC119">
        <v>20.320098000000002</v>
      </c>
      <c r="BD119">
        <v>18.077611000000001</v>
      </c>
      <c r="BE119">
        <v>164.390266</v>
      </c>
      <c r="BF119">
        <v>-15.077665</v>
      </c>
      <c r="BG119">
        <v>4.0507860000000004</v>
      </c>
      <c r="BH119">
        <v>15.077665</v>
      </c>
    </row>
    <row r="120" spans="1:60" x14ac:dyDescent="0.25">
      <c r="A120" t="s">
        <v>288</v>
      </c>
      <c r="B120" t="s">
        <v>289</v>
      </c>
      <c r="C120">
        <v>10</v>
      </c>
      <c r="D120" t="s">
        <v>275</v>
      </c>
      <c r="E120" cm="1">
        <f t="array" ref="E120">_xlfn.SWITCH(D120,"QPSK",0.1,"16QAM",0.25,"64QAM",0.5,"256QAM",0.8,"1024QAM",1,"")</f>
        <v>0.8</v>
      </c>
      <c r="F120" cm="1">
        <f t="array" ref="F120">_xlfn.SWITCH(D120,"QPSK",0.05,"16QAM",0.15,"64QAM",0.4,"256QAM",0.75,"1024QAM",1,"")</f>
        <v>0.75</v>
      </c>
      <c r="G120" t="s">
        <v>61</v>
      </c>
      <c r="H120">
        <v>8</v>
      </c>
      <c r="I120" t="s">
        <v>62</v>
      </c>
      <c r="J120">
        <v>2</v>
      </c>
      <c r="K120">
        <v>2</v>
      </c>
      <c r="L120" t="s">
        <v>63</v>
      </c>
      <c r="M120">
        <v>2</v>
      </c>
      <c r="N120">
        <v>0.47849999999999998</v>
      </c>
      <c r="O120">
        <v>0.48249999999999998</v>
      </c>
      <c r="P120">
        <v>10000</v>
      </c>
      <c r="Q120">
        <v>2785</v>
      </c>
      <c r="R120">
        <v>7215</v>
      </c>
      <c r="S120">
        <v>3.59</v>
      </c>
      <c r="T120">
        <v>2.59</v>
      </c>
      <c r="W120">
        <v>2280</v>
      </c>
      <c r="X120">
        <v>0</v>
      </c>
      <c r="Y120">
        <v>77.2</v>
      </c>
      <c r="Z120">
        <v>18.13</v>
      </c>
      <c r="AB120">
        <v>481680000</v>
      </c>
      <c r="AC120">
        <v>109823040</v>
      </c>
      <c r="AD120">
        <v>481680000</v>
      </c>
      <c r="AE120">
        <v>109823040</v>
      </c>
      <c r="AG120">
        <v>81.87</v>
      </c>
      <c r="AH120">
        <v>22.8</v>
      </c>
      <c r="AI120">
        <v>1</v>
      </c>
      <c r="AJ120">
        <v>3.5906639999999999</v>
      </c>
      <c r="AK120">
        <v>0.11</v>
      </c>
      <c r="AL120">
        <v>10.98</v>
      </c>
      <c r="AM120">
        <v>10982</v>
      </c>
      <c r="AN120">
        <v>1.1733</v>
      </c>
      <c r="AO120">
        <v>30</v>
      </c>
      <c r="AP120">
        <v>21.87</v>
      </c>
      <c r="AQ120">
        <v>0.72</v>
      </c>
      <c r="AR120">
        <v>-6.07</v>
      </c>
      <c r="AS120">
        <v>1.97</v>
      </c>
      <c r="AT120">
        <v>22.02</v>
      </c>
      <c r="AU120">
        <v>6666.69</v>
      </c>
      <c r="AV120">
        <v>35.81</v>
      </c>
      <c r="AW120">
        <v>21.15</v>
      </c>
      <c r="AX120">
        <v>19.100000000000001</v>
      </c>
      <c r="AY120">
        <v>9.7390950000000007</v>
      </c>
      <c r="AZ120">
        <v>82.871972999999997</v>
      </c>
      <c r="BA120">
        <v>-20.320855000000002</v>
      </c>
      <c r="BB120">
        <v>-2.1283539999999999</v>
      </c>
      <c r="BC120">
        <v>20.320855000000002</v>
      </c>
      <c r="BD120">
        <v>18.067723999999998</v>
      </c>
      <c r="BE120">
        <v>164.452628</v>
      </c>
      <c r="BF120">
        <v>-15.079874</v>
      </c>
      <c r="BG120">
        <v>4.0561749999999996</v>
      </c>
      <c r="BH120">
        <v>15.079874</v>
      </c>
    </row>
    <row r="121" spans="1:60" x14ac:dyDescent="0.25">
      <c r="A121" t="s">
        <v>290</v>
      </c>
      <c r="B121" t="s">
        <v>291</v>
      </c>
      <c r="C121">
        <v>10</v>
      </c>
      <c r="D121" t="s">
        <v>275</v>
      </c>
      <c r="E121" cm="1">
        <f t="array" ref="E121">_xlfn.SWITCH(D121,"QPSK",0.1,"16QAM",0.25,"64QAM",0.5,"256QAM",0.8,"1024QAM",1,"")</f>
        <v>0.8</v>
      </c>
      <c r="F121" cm="1">
        <f t="array" ref="F121">_xlfn.SWITCH(D121,"QPSK",0.05,"16QAM",0.15,"64QAM",0.4,"256QAM",0.75,"1024QAM",1,"")</f>
        <v>0.75</v>
      </c>
      <c r="G121" t="s">
        <v>61</v>
      </c>
      <c r="H121">
        <v>8</v>
      </c>
      <c r="I121" t="s">
        <v>62</v>
      </c>
      <c r="J121">
        <v>2</v>
      </c>
      <c r="K121">
        <v>2</v>
      </c>
      <c r="L121" t="s">
        <v>63</v>
      </c>
      <c r="M121">
        <v>2</v>
      </c>
      <c r="N121">
        <v>0.47849999999999998</v>
      </c>
      <c r="O121">
        <v>0.48249999999999998</v>
      </c>
      <c r="P121">
        <v>10000</v>
      </c>
      <c r="Q121">
        <v>2795</v>
      </c>
      <c r="R121">
        <v>7205</v>
      </c>
      <c r="S121">
        <v>3.58</v>
      </c>
      <c r="T121">
        <v>2.58</v>
      </c>
      <c r="W121">
        <v>2277</v>
      </c>
      <c r="X121">
        <v>0</v>
      </c>
      <c r="Y121">
        <v>77.23</v>
      </c>
      <c r="Z121">
        <v>18.53</v>
      </c>
      <c r="AB121">
        <v>481680000</v>
      </c>
      <c r="AC121">
        <v>109678536</v>
      </c>
      <c r="AD121">
        <v>481680000</v>
      </c>
      <c r="AE121">
        <v>109678536</v>
      </c>
      <c r="AG121">
        <v>81.47</v>
      </c>
      <c r="AH121">
        <v>22.77</v>
      </c>
      <c r="AI121">
        <v>1</v>
      </c>
      <c r="AJ121">
        <v>3.5778180000000002</v>
      </c>
      <c r="AK121">
        <v>0.1099</v>
      </c>
      <c r="AL121">
        <v>10.97</v>
      </c>
      <c r="AM121">
        <v>10968</v>
      </c>
      <c r="AN121">
        <v>1.1718</v>
      </c>
      <c r="AO121">
        <v>30</v>
      </c>
      <c r="AP121">
        <v>21.87</v>
      </c>
      <c r="AQ121">
        <v>0.72</v>
      </c>
      <c r="AR121">
        <v>-6.07</v>
      </c>
      <c r="AS121">
        <v>1.97</v>
      </c>
      <c r="AT121">
        <v>22.04</v>
      </c>
      <c r="AU121">
        <v>6666.69</v>
      </c>
      <c r="AV121">
        <v>35.81</v>
      </c>
      <c r="AW121">
        <v>21.15</v>
      </c>
      <c r="AX121">
        <v>19.100000000000001</v>
      </c>
      <c r="AY121">
        <v>9.7432529999999993</v>
      </c>
      <c r="AZ121">
        <v>82.924232000000003</v>
      </c>
      <c r="BA121">
        <v>-20.318527</v>
      </c>
      <c r="BB121">
        <v>-2.1314039999999999</v>
      </c>
      <c r="BC121">
        <v>20.318527</v>
      </c>
      <c r="BD121">
        <v>18.068117000000001</v>
      </c>
      <c r="BE121">
        <v>164.205209</v>
      </c>
      <c r="BF121">
        <v>-15.07977</v>
      </c>
      <c r="BG121">
        <v>4.047612</v>
      </c>
      <c r="BH121">
        <v>15.07977</v>
      </c>
    </row>
    <row r="122" spans="1:60" x14ac:dyDescent="0.25">
      <c r="A122" t="s">
        <v>292</v>
      </c>
      <c r="B122" t="s">
        <v>293</v>
      </c>
      <c r="C122">
        <v>12</v>
      </c>
      <c r="D122" t="s">
        <v>275</v>
      </c>
      <c r="E122" cm="1">
        <f t="array" ref="E122">_xlfn.SWITCH(D122,"QPSK",0.1,"16QAM",0.25,"64QAM",0.5,"256QAM",0.8,"1024QAM",1,"")</f>
        <v>0.8</v>
      </c>
      <c r="F122" cm="1">
        <f t="array" ref="F122">_xlfn.SWITCH(D122,"QPSK",0.05,"16QAM",0.15,"64QAM",0.4,"256QAM",0.75,"1024QAM",1,"")</f>
        <v>0.75</v>
      </c>
      <c r="G122" t="s">
        <v>61</v>
      </c>
      <c r="H122">
        <v>1</v>
      </c>
      <c r="I122" t="s">
        <v>62</v>
      </c>
      <c r="J122">
        <v>2</v>
      </c>
      <c r="K122">
        <v>2</v>
      </c>
      <c r="L122" t="s">
        <v>63</v>
      </c>
      <c r="M122">
        <v>2</v>
      </c>
      <c r="N122">
        <v>0.47849999999999998</v>
      </c>
      <c r="O122">
        <v>0.48249999999999998</v>
      </c>
      <c r="P122">
        <v>10000</v>
      </c>
      <c r="Q122">
        <v>3159</v>
      </c>
      <c r="R122">
        <v>6841</v>
      </c>
      <c r="S122">
        <v>3.17</v>
      </c>
      <c r="T122">
        <v>2.17</v>
      </c>
      <c r="W122">
        <v>2965</v>
      </c>
      <c r="X122">
        <v>0</v>
      </c>
      <c r="Y122">
        <v>70.349999999999994</v>
      </c>
      <c r="Z122">
        <v>6.14</v>
      </c>
      <c r="AB122">
        <v>481680000</v>
      </c>
      <c r="AC122">
        <v>142818120</v>
      </c>
      <c r="AD122">
        <v>481680000</v>
      </c>
      <c r="AE122">
        <v>142818120</v>
      </c>
      <c r="AG122">
        <v>93.86</v>
      </c>
      <c r="AH122">
        <v>29.65</v>
      </c>
      <c r="AI122">
        <v>1</v>
      </c>
      <c r="AJ122">
        <v>3.165559</v>
      </c>
      <c r="AK122">
        <v>0.14299999999999999</v>
      </c>
      <c r="AL122">
        <v>14.28</v>
      </c>
      <c r="AM122">
        <v>14282</v>
      </c>
      <c r="AN122">
        <v>1.5258</v>
      </c>
      <c r="AO122">
        <v>30</v>
      </c>
      <c r="AP122">
        <v>21.87</v>
      </c>
      <c r="AQ122">
        <v>0.72</v>
      </c>
      <c r="AR122">
        <v>-6.07</v>
      </c>
      <c r="AS122">
        <v>1.96</v>
      </c>
      <c r="AT122">
        <v>22.29</v>
      </c>
      <c r="AU122">
        <v>6666.69</v>
      </c>
      <c r="AV122">
        <v>35.81</v>
      </c>
      <c r="AW122">
        <v>21.41</v>
      </c>
      <c r="AX122">
        <v>18.95</v>
      </c>
      <c r="AY122">
        <v>9.1109899999999993</v>
      </c>
      <c r="AZ122">
        <v>80.962693999999999</v>
      </c>
      <c r="BA122">
        <v>-20.896234</v>
      </c>
      <c r="BB122">
        <v>-2.4786269999999999</v>
      </c>
      <c r="BC122">
        <v>20.896234</v>
      </c>
      <c r="BD122">
        <v>16.792200999999999</v>
      </c>
      <c r="BE122">
        <v>161.20148800000001</v>
      </c>
      <c r="BF122">
        <v>-15.691451000000001</v>
      </c>
      <c r="BG122">
        <v>3.934212</v>
      </c>
      <c r="BH122">
        <v>15.691451000000001</v>
      </c>
    </row>
    <row r="123" spans="1:60" x14ac:dyDescent="0.25">
      <c r="A123" t="s">
        <v>294</v>
      </c>
      <c r="B123" t="s">
        <v>295</v>
      </c>
      <c r="C123">
        <v>12</v>
      </c>
      <c r="D123" t="s">
        <v>275</v>
      </c>
      <c r="E123" cm="1">
        <f t="array" ref="E123">_xlfn.SWITCH(D123,"QPSK",0.1,"16QAM",0.25,"64QAM",0.5,"256QAM",0.8,"1024QAM",1,"")</f>
        <v>0.8</v>
      </c>
      <c r="F123" cm="1">
        <f t="array" ref="F123">_xlfn.SWITCH(D123,"QPSK",0.05,"16QAM",0.15,"64QAM",0.4,"256QAM",0.75,"1024QAM",1,"")</f>
        <v>0.75</v>
      </c>
      <c r="G123" t="s">
        <v>61</v>
      </c>
      <c r="H123">
        <v>4</v>
      </c>
      <c r="I123" t="s">
        <v>62</v>
      </c>
      <c r="J123">
        <v>2</v>
      </c>
      <c r="K123">
        <v>2</v>
      </c>
      <c r="L123" t="s">
        <v>63</v>
      </c>
      <c r="M123">
        <v>2</v>
      </c>
      <c r="N123">
        <v>0.47849999999999998</v>
      </c>
      <c r="O123">
        <v>0.48249999999999998</v>
      </c>
      <c r="P123">
        <v>10000</v>
      </c>
      <c r="Q123">
        <v>3149</v>
      </c>
      <c r="R123">
        <v>6851</v>
      </c>
      <c r="S123">
        <v>3.18</v>
      </c>
      <c r="T123">
        <v>2.1800000000000002</v>
      </c>
      <c r="W123">
        <v>2981</v>
      </c>
      <c r="X123">
        <v>0</v>
      </c>
      <c r="Y123">
        <v>70.19</v>
      </c>
      <c r="Z123">
        <v>5.34</v>
      </c>
      <c r="AB123">
        <v>481680000</v>
      </c>
      <c r="AC123">
        <v>143588808</v>
      </c>
      <c r="AD123">
        <v>481680000</v>
      </c>
      <c r="AE123">
        <v>143588808</v>
      </c>
      <c r="AG123">
        <v>94.66</v>
      </c>
      <c r="AH123">
        <v>29.81</v>
      </c>
      <c r="AI123">
        <v>1</v>
      </c>
      <c r="AJ123">
        <v>3.175611</v>
      </c>
      <c r="AK123">
        <v>0.14380000000000001</v>
      </c>
      <c r="AL123">
        <v>14.36</v>
      </c>
      <c r="AM123">
        <v>14359</v>
      </c>
      <c r="AN123">
        <v>1.5341</v>
      </c>
      <c r="AO123">
        <v>30</v>
      </c>
      <c r="AP123">
        <v>21.87</v>
      </c>
      <c r="AQ123">
        <v>0.72</v>
      </c>
      <c r="AR123">
        <v>-6.07</v>
      </c>
      <c r="AS123">
        <v>1.96</v>
      </c>
      <c r="AT123">
        <v>22.19</v>
      </c>
      <c r="AU123">
        <v>6666.69</v>
      </c>
      <c r="AV123">
        <v>35.81</v>
      </c>
      <c r="AW123">
        <v>21.4</v>
      </c>
      <c r="AX123">
        <v>18.95</v>
      </c>
      <c r="AY123">
        <v>9.1151110000000006</v>
      </c>
      <c r="AZ123">
        <v>81.534175000000005</v>
      </c>
      <c r="BA123">
        <v>-20.892316999999998</v>
      </c>
      <c r="BB123">
        <v>-2.432655</v>
      </c>
      <c r="BC123">
        <v>20.892316999999998</v>
      </c>
      <c r="BD123">
        <v>16.792787000000001</v>
      </c>
      <c r="BE123">
        <v>160.92010200000001</v>
      </c>
      <c r="BF123">
        <v>-15.690248</v>
      </c>
      <c r="BG123">
        <v>3.923295</v>
      </c>
      <c r="BH123">
        <v>15.690248</v>
      </c>
    </row>
    <row r="124" spans="1:60" x14ac:dyDescent="0.25">
      <c r="A124" t="s">
        <v>296</v>
      </c>
      <c r="B124" t="s">
        <v>297</v>
      </c>
      <c r="C124">
        <v>12</v>
      </c>
      <c r="D124" t="s">
        <v>275</v>
      </c>
      <c r="E124" cm="1">
        <f t="array" ref="E124">_xlfn.SWITCH(D124,"QPSK",0.1,"16QAM",0.25,"64QAM",0.5,"256QAM",0.8,"1024QAM",1,"")</f>
        <v>0.8</v>
      </c>
      <c r="F124" cm="1">
        <f t="array" ref="F124">_xlfn.SWITCH(D124,"QPSK",0.05,"16QAM",0.15,"64QAM",0.4,"256QAM",0.75,"1024QAM",1,"")</f>
        <v>0.75</v>
      </c>
      <c r="G124" t="s">
        <v>61</v>
      </c>
      <c r="H124">
        <v>8</v>
      </c>
      <c r="I124" t="s">
        <v>62</v>
      </c>
      <c r="J124">
        <v>2</v>
      </c>
      <c r="K124">
        <v>2</v>
      </c>
      <c r="L124" t="s">
        <v>63</v>
      </c>
      <c r="M124">
        <v>2</v>
      </c>
      <c r="N124">
        <v>0.47849999999999998</v>
      </c>
      <c r="O124">
        <v>0.48249999999999998</v>
      </c>
      <c r="P124">
        <v>10000</v>
      </c>
      <c r="Q124">
        <v>3127</v>
      </c>
      <c r="R124">
        <v>6873</v>
      </c>
      <c r="S124">
        <v>3.2</v>
      </c>
      <c r="T124">
        <v>2.2000000000000002</v>
      </c>
      <c r="W124">
        <v>2988</v>
      </c>
      <c r="X124">
        <v>0</v>
      </c>
      <c r="Y124">
        <v>70.12</v>
      </c>
      <c r="Z124">
        <v>4.45</v>
      </c>
      <c r="AB124">
        <v>481680000</v>
      </c>
      <c r="AC124">
        <v>143925984</v>
      </c>
      <c r="AD124">
        <v>481680000</v>
      </c>
      <c r="AE124">
        <v>143925984</v>
      </c>
      <c r="AG124">
        <v>95.55</v>
      </c>
      <c r="AH124">
        <v>29.88</v>
      </c>
      <c r="AI124">
        <v>1</v>
      </c>
      <c r="AJ124">
        <v>3.197953</v>
      </c>
      <c r="AK124">
        <v>0.14419999999999999</v>
      </c>
      <c r="AL124">
        <v>14.39</v>
      </c>
      <c r="AM124">
        <v>14393</v>
      </c>
      <c r="AN124">
        <v>1.5377000000000001</v>
      </c>
      <c r="AO124">
        <v>30</v>
      </c>
      <c r="AP124">
        <v>21.87</v>
      </c>
      <c r="AQ124">
        <v>0.72</v>
      </c>
      <c r="AR124">
        <v>-6.07</v>
      </c>
      <c r="AS124">
        <v>1.96</v>
      </c>
      <c r="AT124">
        <v>22.38</v>
      </c>
      <c r="AU124">
        <v>6666.69</v>
      </c>
      <c r="AV124">
        <v>35.81</v>
      </c>
      <c r="AW124">
        <v>21.41</v>
      </c>
      <c r="AX124">
        <v>18.95</v>
      </c>
      <c r="AY124">
        <v>9.1093910000000005</v>
      </c>
      <c r="AZ124">
        <v>81.433959999999999</v>
      </c>
      <c r="BA124">
        <v>-20.897392</v>
      </c>
      <c r="BB124">
        <v>-2.450599</v>
      </c>
      <c r="BC124">
        <v>20.897392</v>
      </c>
      <c r="BD124">
        <v>16.795829000000001</v>
      </c>
      <c r="BE124">
        <v>160.983746</v>
      </c>
      <c r="BF124">
        <v>-15.688435</v>
      </c>
      <c r="BG124">
        <v>3.9259940000000002</v>
      </c>
      <c r="BH124">
        <v>15.688435</v>
      </c>
    </row>
    <row r="125" spans="1:60" x14ac:dyDescent="0.25">
      <c r="A125" t="s">
        <v>298</v>
      </c>
      <c r="B125" t="s">
        <v>299</v>
      </c>
      <c r="C125">
        <v>14</v>
      </c>
      <c r="D125" t="s">
        <v>275</v>
      </c>
      <c r="E125" cm="1">
        <f t="array" ref="E125">_xlfn.SWITCH(D125,"QPSK",0.1,"16QAM",0.25,"64QAM",0.5,"256QAM",0.8,"1024QAM",1,"")</f>
        <v>0.8</v>
      </c>
      <c r="F125" cm="1">
        <f t="array" ref="F125">_xlfn.SWITCH(D125,"QPSK",0.05,"16QAM",0.15,"64QAM",0.4,"256QAM",0.75,"1024QAM",1,"")</f>
        <v>0.75</v>
      </c>
      <c r="G125" t="s">
        <v>61</v>
      </c>
      <c r="H125">
        <v>1</v>
      </c>
      <c r="I125" t="s">
        <v>62</v>
      </c>
      <c r="J125">
        <v>2</v>
      </c>
      <c r="K125">
        <v>2</v>
      </c>
      <c r="L125" t="s">
        <v>63</v>
      </c>
      <c r="M125">
        <v>2</v>
      </c>
      <c r="N125">
        <v>0.47849999999999998</v>
      </c>
      <c r="O125">
        <v>0.48249999999999998</v>
      </c>
      <c r="P125">
        <v>10000</v>
      </c>
      <c r="Q125">
        <v>3741</v>
      </c>
      <c r="R125">
        <v>6259</v>
      </c>
      <c r="S125">
        <v>2.67</v>
      </c>
      <c r="T125">
        <v>1.67</v>
      </c>
      <c r="W125">
        <v>3688</v>
      </c>
      <c r="X125">
        <v>0</v>
      </c>
      <c r="Y125">
        <v>63.12</v>
      </c>
      <c r="Z125">
        <v>1.42</v>
      </c>
      <c r="AB125">
        <v>481680000</v>
      </c>
      <c r="AC125">
        <v>177643584</v>
      </c>
      <c r="AD125">
        <v>481680000</v>
      </c>
      <c r="AE125">
        <v>177643584</v>
      </c>
      <c r="AG125">
        <v>98.58</v>
      </c>
      <c r="AH125">
        <v>36.880000000000003</v>
      </c>
      <c r="AI125">
        <v>1</v>
      </c>
      <c r="AJ125">
        <v>2.673082</v>
      </c>
      <c r="AK125">
        <v>0.1779</v>
      </c>
      <c r="AL125">
        <v>17.760000000000002</v>
      </c>
      <c r="AM125">
        <v>17764</v>
      </c>
      <c r="AN125">
        <v>1.8978999999999999</v>
      </c>
      <c r="AO125">
        <v>30</v>
      </c>
      <c r="AP125">
        <v>21.87</v>
      </c>
      <c r="AQ125">
        <v>0.72</v>
      </c>
      <c r="AR125">
        <v>-6.08</v>
      </c>
      <c r="AS125">
        <v>1.95</v>
      </c>
      <c r="AT125">
        <v>22.84</v>
      </c>
      <c r="AU125">
        <v>6666.69</v>
      </c>
      <c r="AV125">
        <v>35.81</v>
      </c>
      <c r="AW125">
        <v>21.8</v>
      </c>
      <c r="AX125">
        <v>18.940000000000001</v>
      </c>
      <c r="AY125">
        <v>8.4805989999999998</v>
      </c>
      <c r="AZ125">
        <v>75.665661999999998</v>
      </c>
      <c r="BA125">
        <v>-21.504525999999998</v>
      </c>
      <c r="BB125">
        <v>-3.0917849999999998</v>
      </c>
      <c r="BC125">
        <v>21.504525999999998</v>
      </c>
      <c r="BD125">
        <v>15.439116</v>
      </c>
      <c r="BE125">
        <v>156.71783600000001</v>
      </c>
      <c r="BF125">
        <v>-16.419498000000001</v>
      </c>
      <c r="BG125">
        <v>3.687808</v>
      </c>
      <c r="BH125">
        <v>16.419498000000001</v>
      </c>
    </row>
    <row r="126" spans="1:60" x14ac:dyDescent="0.25">
      <c r="A126" t="s">
        <v>300</v>
      </c>
      <c r="B126" t="s">
        <v>301</v>
      </c>
      <c r="C126">
        <v>14</v>
      </c>
      <c r="D126" t="s">
        <v>275</v>
      </c>
      <c r="E126" cm="1">
        <f t="array" ref="E126">_xlfn.SWITCH(D126,"QPSK",0.1,"16QAM",0.25,"64QAM",0.5,"256QAM",0.8,"1024QAM",1,"")</f>
        <v>0.8</v>
      </c>
      <c r="F126" cm="1">
        <f t="array" ref="F126">_xlfn.SWITCH(D126,"QPSK",0.05,"16QAM",0.15,"64QAM",0.4,"256QAM",0.75,"1024QAM",1,"")</f>
        <v>0.75</v>
      </c>
      <c r="G126" t="s">
        <v>61</v>
      </c>
      <c r="H126">
        <v>4</v>
      </c>
      <c r="I126" t="s">
        <v>62</v>
      </c>
      <c r="J126">
        <v>2</v>
      </c>
      <c r="K126">
        <v>2</v>
      </c>
      <c r="L126" t="s">
        <v>63</v>
      </c>
      <c r="M126">
        <v>2</v>
      </c>
      <c r="N126">
        <v>0.47849999999999998</v>
      </c>
      <c r="O126">
        <v>0.48249999999999998</v>
      </c>
      <c r="P126">
        <v>10000</v>
      </c>
      <c r="Q126">
        <v>3730</v>
      </c>
      <c r="R126">
        <v>6270</v>
      </c>
      <c r="S126">
        <v>2.68</v>
      </c>
      <c r="T126">
        <v>1.68</v>
      </c>
      <c r="W126">
        <v>3682</v>
      </c>
      <c r="X126">
        <v>0</v>
      </c>
      <c r="Y126">
        <v>63.18</v>
      </c>
      <c r="Z126">
        <v>1.29</v>
      </c>
      <c r="AB126">
        <v>481680000</v>
      </c>
      <c r="AC126">
        <v>177354576</v>
      </c>
      <c r="AD126">
        <v>481680000</v>
      </c>
      <c r="AE126">
        <v>177354576</v>
      </c>
      <c r="AG126">
        <v>98.71</v>
      </c>
      <c r="AH126">
        <v>36.82</v>
      </c>
      <c r="AI126">
        <v>1</v>
      </c>
      <c r="AJ126">
        <v>2.680965</v>
      </c>
      <c r="AK126">
        <v>0.17760000000000001</v>
      </c>
      <c r="AL126">
        <v>17.739999999999998</v>
      </c>
      <c r="AM126">
        <v>17735</v>
      </c>
      <c r="AN126">
        <v>1.8948</v>
      </c>
      <c r="AO126">
        <v>30</v>
      </c>
      <c r="AP126">
        <v>21.87</v>
      </c>
      <c r="AQ126">
        <v>0.72</v>
      </c>
      <c r="AR126">
        <v>-6.08</v>
      </c>
      <c r="AS126">
        <v>1.95</v>
      </c>
      <c r="AT126">
        <v>23.06</v>
      </c>
      <c r="AU126">
        <v>6666.69</v>
      </c>
      <c r="AV126">
        <v>35.81</v>
      </c>
      <c r="AW126">
        <v>21.8</v>
      </c>
      <c r="AX126">
        <v>18.940000000000001</v>
      </c>
      <c r="AY126">
        <v>8.4847599999999996</v>
      </c>
      <c r="AZ126">
        <v>75.911531999999994</v>
      </c>
      <c r="BA126">
        <v>-21.500477</v>
      </c>
      <c r="BB126">
        <v>-3.0711529999999998</v>
      </c>
      <c r="BC126">
        <v>21.500477</v>
      </c>
      <c r="BD126">
        <v>15.437962000000001</v>
      </c>
      <c r="BE126">
        <v>156.52578700000001</v>
      </c>
      <c r="BF126">
        <v>-16.419353999999998</v>
      </c>
      <c r="BG126">
        <v>3.6785190000000001</v>
      </c>
      <c r="BH126">
        <v>16.419353999999998</v>
      </c>
    </row>
    <row r="127" spans="1:60" x14ac:dyDescent="0.25">
      <c r="A127" t="s">
        <v>302</v>
      </c>
      <c r="B127" t="s">
        <v>303</v>
      </c>
      <c r="C127">
        <v>14</v>
      </c>
      <c r="D127" t="s">
        <v>275</v>
      </c>
      <c r="E127" cm="1">
        <f t="array" ref="E127">_xlfn.SWITCH(D127,"QPSK",0.1,"16QAM",0.25,"64QAM",0.5,"256QAM",0.8,"1024QAM",1,"")</f>
        <v>0.8</v>
      </c>
      <c r="F127" cm="1">
        <f t="array" ref="F127">_xlfn.SWITCH(D127,"QPSK",0.05,"16QAM",0.15,"64QAM",0.4,"256QAM",0.75,"1024QAM",1,"")</f>
        <v>0.75</v>
      </c>
      <c r="G127" t="s">
        <v>61</v>
      </c>
      <c r="H127">
        <v>8</v>
      </c>
      <c r="I127" t="s">
        <v>62</v>
      </c>
      <c r="J127">
        <v>2</v>
      </c>
      <c r="K127">
        <v>2</v>
      </c>
      <c r="L127" t="s">
        <v>63</v>
      </c>
      <c r="M127">
        <v>2</v>
      </c>
      <c r="N127">
        <v>0.47849999999999998</v>
      </c>
      <c r="O127">
        <v>0.48249999999999998</v>
      </c>
      <c r="P127">
        <v>10000</v>
      </c>
      <c r="Q127">
        <v>3700</v>
      </c>
      <c r="R127">
        <v>6300</v>
      </c>
      <c r="S127">
        <v>2.7</v>
      </c>
      <c r="T127">
        <v>1.7</v>
      </c>
      <c r="W127">
        <v>3672</v>
      </c>
      <c r="X127">
        <v>0</v>
      </c>
      <c r="Y127">
        <v>63.28</v>
      </c>
      <c r="Z127">
        <v>0.76</v>
      </c>
      <c r="AB127">
        <v>481680000</v>
      </c>
      <c r="AC127">
        <v>176872896</v>
      </c>
      <c r="AD127">
        <v>481680000</v>
      </c>
      <c r="AE127">
        <v>176872896</v>
      </c>
      <c r="AG127">
        <v>99.24</v>
      </c>
      <c r="AH127">
        <v>36.72</v>
      </c>
      <c r="AI127">
        <v>1</v>
      </c>
      <c r="AJ127">
        <v>2.7027030000000001</v>
      </c>
      <c r="AK127">
        <v>0.1772</v>
      </c>
      <c r="AL127">
        <v>17.690000000000001</v>
      </c>
      <c r="AM127">
        <v>17687</v>
      </c>
      <c r="AN127">
        <v>1.8896999999999999</v>
      </c>
      <c r="AO127">
        <v>30</v>
      </c>
      <c r="AP127">
        <v>21.87</v>
      </c>
      <c r="AQ127">
        <v>0.72</v>
      </c>
      <c r="AR127">
        <v>-6.08</v>
      </c>
      <c r="AS127">
        <v>1.95</v>
      </c>
      <c r="AT127">
        <v>22.86</v>
      </c>
      <c r="AU127">
        <v>6666.69</v>
      </c>
      <c r="AV127">
        <v>35.81</v>
      </c>
      <c r="AW127">
        <v>21.8</v>
      </c>
      <c r="AX127">
        <v>18.93</v>
      </c>
      <c r="AY127">
        <v>8.4804709999999996</v>
      </c>
      <c r="AZ127">
        <v>75.752217000000002</v>
      </c>
      <c r="BA127">
        <v>-21.505236</v>
      </c>
      <c r="BB127">
        <v>-3.0830470000000001</v>
      </c>
      <c r="BC127">
        <v>21.505236</v>
      </c>
      <c r="BD127">
        <v>15.437438999999999</v>
      </c>
      <c r="BE127">
        <v>156.82619099999999</v>
      </c>
      <c r="BF127">
        <v>-16.418351000000001</v>
      </c>
      <c r="BG127">
        <v>3.6977850000000001</v>
      </c>
      <c r="BH127">
        <v>16.418351000000001</v>
      </c>
    </row>
    <row r="128" spans="1:60" x14ac:dyDescent="0.25">
      <c r="A128" t="s">
        <v>304</v>
      </c>
      <c r="B128" t="s">
        <v>305</v>
      </c>
      <c r="C128">
        <v>16</v>
      </c>
      <c r="D128" t="s">
        <v>275</v>
      </c>
      <c r="E128" cm="1">
        <f t="array" ref="E128">_xlfn.SWITCH(D128,"QPSK",0.1,"16QAM",0.25,"64QAM",0.5,"256QAM",0.8,"1024QAM",1,"")</f>
        <v>0.8</v>
      </c>
      <c r="F128" cm="1">
        <f t="array" ref="F128">_xlfn.SWITCH(D128,"QPSK",0.05,"16QAM",0.15,"64QAM",0.4,"256QAM",0.75,"1024QAM",1,"")</f>
        <v>0.75</v>
      </c>
      <c r="G128" t="s">
        <v>61</v>
      </c>
      <c r="H128">
        <v>1</v>
      </c>
      <c r="I128" t="s">
        <v>62</v>
      </c>
      <c r="J128">
        <v>2</v>
      </c>
      <c r="K128">
        <v>2</v>
      </c>
      <c r="L128" t="s">
        <v>63</v>
      </c>
      <c r="M128">
        <v>2</v>
      </c>
      <c r="N128">
        <v>0.47849999999999998</v>
      </c>
      <c r="O128">
        <v>0.48249999999999998</v>
      </c>
      <c r="P128">
        <v>10000</v>
      </c>
      <c r="Q128">
        <v>4322</v>
      </c>
      <c r="R128">
        <v>5678</v>
      </c>
      <c r="S128">
        <v>2.31</v>
      </c>
      <c r="T128">
        <v>1.31</v>
      </c>
      <c r="W128">
        <v>4311</v>
      </c>
      <c r="X128">
        <v>0</v>
      </c>
      <c r="Y128">
        <v>56.89</v>
      </c>
      <c r="Z128">
        <v>0.25</v>
      </c>
      <c r="AB128">
        <v>481680000</v>
      </c>
      <c r="AC128">
        <v>207652248</v>
      </c>
      <c r="AD128">
        <v>481680000</v>
      </c>
      <c r="AE128">
        <v>207652248</v>
      </c>
      <c r="AG128">
        <v>99.75</v>
      </c>
      <c r="AH128">
        <v>43.11</v>
      </c>
      <c r="AI128">
        <v>1</v>
      </c>
      <c r="AJ128">
        <v>2.3137439999999998</v>
      </c>
      <c r="AK128">
        <v>0.20799999999999999</v>
      </c>
      <c r="AL128">
        <v>20.77</v>
      </c>
      <c r="AM128">
        <v>20765</v>
      </c>
      <c r="AN128">
        <v>2.2185000000000001</v>
      </c>
      <c r="AO128">
        <v>30</v>
      </c>
      <c r="AP128">
        <v>21.87</v>
      </c>
      <c r="AQ128">
        <v>0.72</v>
      </c>
      <c r="AR128">
        <v>-6.09</v>
      </c>
      <c r="AS128">
        <v>1.94</v>
      </c>
      <c r="AT128">
        <v>23.41</v>
      </c>
      <c r="AU128">
        <v>6666.69</v>
      </c>
      <c r="AV128">
        <v>35.81</v>
      </c>
      <c r="AW128">
        <v>22.24</v>
      </c>
      <c r="AX128">
        <v>19.04</v>
      </c>
      <c r="AY128">
        <v>7.9362649999999997</v>
      </c>
      <c r="AZ128">
        <v>68.605170999999999</v>
      </c>
      <c r="BA128">
        <v>-22.071178</v>
      </c>
      <c r="BB128">
        <v>-3.9187539999999998</v>
      </c>
      <c r="BC128">
        <v>22.071178</v>
      </c>
      <c r="BD128">
        <v>14.136639000000001</v>
      </c>
      <c r="BE128">
        <v>151.61443700000001</v>
      </c>
      <c r="BF128">
        <v>-17.202978000000002</v>
      </c>
      <c r="BG128">
        <v>3.35534</v>
      </c>
      <c r="BH128">
        <v>17.202978000000002</v>
      </c>
    </row>
    <row r="129" spans="1:60" x14ac:dyDescent="0.25">
      <c r="A129" t="s">
        <v>306</v>
      </c>
      <c r="B129" t="s">
        <v>307</v>
      </c>
      <c r="C129">
        <v>16</v>
      </c>
      <c r="D129" t="s">
        <v>275</v>
      </c>
      <c r="E129" cm="1">
        <f t="array" ref="E129">_xlfn.SWITCH(D129,"QPSK",0.1,"16QAM",0.25,"64QAM",0.5,"256QAM",0.8,"1024QAM",1,"")</f>
        <v>0.8</v>
      </c>
      <c r="F129" cm="1">
        <f t="array" ref="F129">_xlfn.SWITCH(D129,"QPSK",0.05,"16QAM",0.15,"64QAM",0.4,"256QAM",0.75,"1024QAM",1,"")</f>
        <v>0.75</v>
      </c>
      <c r="G129" t="s">
        <v>61</v>
      </c>
      <c r="H129">
        <v>4</v>
      </c>
      <c r="I129" t="s">
        <v>62</v>
      </c>
      <c r="J129">
        <v>2</v>
      </c>
      <c r="K129">
        <v>2</v>
      </c>
      <c r="L129" t="s">
        <v>63</v>
      </c>
      <c r="M129">
        <v>2</v>
      </c>
      <c r="N129">
        <v>0.47849999999999998</v>
      </c>
      <c r="O129">
        <v>0.48249999999999998</v>
      </c>
      <c r="P129">
        <v>10000</v>
      </c>
      <c r="Q129">
        <v>4313</v>
      </c>
      <c r="R129">
        <v>5687</v>
      </c>
      <c r="S129">
        <v>2.3199999999999998</v>
      </c>
      <c r="T129">
        <v>1.32</v>
      </c>
      <c r="W129">
        <v>4300</v>
      </c>
      <c r="X129">
        <v>0</v>
      </c>
      <c r="Y129">
        <v>57</v>
      </c>
      <c r="Z129">
        <v>0.3</v>
      </c>
      <c r="AB129">
        <v>481680000</v>
      </c>
      <c r="AC129">
        <v>207122400</v>
      </c>
      <c r="AD129">
        <v>481680000</v>
      </c>
      <c r="AE129">
        <v>207122400</v>
      </c>
      <c r="AG129">
        <v>99.7</v>
      </c>
      <c r="AH129">
        <v>43</v>
      </c>
      <c r="AI129">
        <v>1</v>
      </c>
      <c r="AJ129">
        <v>2.3185720000000001</v>
      </c>
      <c r="AK129">
        <v>0.20749999999999999</v>
      </c>
      <c r="AL129">
        <v>20.71</v>
      </c>
      <c r="AM129">
        <v>20712</v>
      </c>
      <c r="AN129">
        <v>2.2128000000000001</v>
      </c>
      <c r="AO129">
        <v>30</v>
      </c>
      <c r="AP129">
        <v>21.87</v>
      </c>
      <c r="AQ129">
        <v>0.72</v>
      </c>
      <c r="AR129">
        <v>-6.09</v>
      </c>
      <c r="AS129">
        <v>1.94</v>
      </c>
      <c r="AT129">
        <v>23.42</v>
      </c>
      <c r="AU129">
        <v>6666.69</v>
      </c>
      <c r="AV129">
        <v>35.81</v>
      </c>
      <c r="AW129">
        <v>22.24</v>
      </c>
      <c r="AX129">
        <v>19.05</v>
      </c>
      <c r="AY129">
        <v>7.9369820000000004</v>
      </c>
      <c r="AZ129">
        <v>68.855428000000003</v>
      </c>
      <c r="BA129">
        <v>-22.070212000000001</v>
      </c>
      <c r="BB129">
        <v>-3.8907769999999999</v>
      </c>
      <c r="BC129">
        <v>22.070212000000001</v>
      </c>
      <c r="BD129">
        <v>14.127724000000001</v>
      </c>
      <c r="BE129">
        <v>151.50358399999999</v>
      </c>
      <c r="BF129">
        <v>-17.209731999999999</v>
      </c>
      <c r="BG129">
        <v>3.3400159999999999</v>
      </c>
      <c r="BH129">
        <v>17.209731999999999</v>
      </c>
    </row>
    <row r="130" spans="1:60" x14ac:dyDescent="0.25">
      <c r="A130" t="s">
        <v>308</v>
      </c>
      <c r="B130" t="s">
        <v>309</v>
      </c>
      <c r="C130">
        <v>16</v>
      </c>
      <c r="D130" t="s">
        <v>275</v>
      </c>
      <c r="E130" cm="1">
        <f t="array" ref="E130">_xlfn.SWITCH(D130,"QPSK",0.1,"16QAM",0.25,"64QAM",0.5,"256QAM",0.8,"1024QAM",1,"")</f>
        <v>0.8</v>
      </c>
      <c r="F130" cm="1">
        <f t="array" ref="F130">_xlfn.SWITCH(D130,"QPSK",0.05,"16QAM",0.15,"64QAM",0.4,"256QAM",0.75,"1024QAM",1,"")</f>
        <v>0.75</v>
      </c>
      <c r="G130" t="s">
        <v>61</v>
      </c>
      <c r="H130">
        <v>8</v>
      </c>
      <c r="I130" t="s">
        <v>62</v>
      </c>
      <c r="J130">
        <v>2</v>
      </c>
      <c r="K130">
        <v>2</v>
      </c>
      <c r="L130" t="s">
        <v>63</v>
      </c>
      <c r="M130">
        <v>2</v>
      </c>
      <c r="N130">
        <v>0.47849999999999998</v>
      </c>
      <c r="O130">
        <v>0.48249999999999998</v>
      </c>
      <c r="P130">
        <v>10000</v>
      </c>
      <c r="Q130">
        <v>4264</v>
      </c>
      <c r="R130">
        <v>5736</v>
      </c>
      <c r="S130">
        <v>2.35</v>
      </c>
      <c r="T130">
        <v>1.35</v>
      </c>
      <c r="W130">
        <v>4257</v>
      </c>
      <c r="X130">
        <v>0</v>
      </c>
      <c r="Y130">
        <v>57.43</v>
      </c>
      <c r="Z130">
        <v>0.16</v>
      </c>
      <c r="AB130">
        <v>481680000</v>
      </c>
      <c r="AC130">
        <v>205051176</v>
      </c>
      <c r="AD130">
        <v>481680000</v>
      </c>
      <c r="AE130">
        <v>205051176</v>
      </c>
      <c r="AG130">
        <v>99.84</v>
      </c>
      <c r="AH130">
        <v>42.57</v>
      </c>
      <c r="AI130">
        <v>1</v>
      </c>
      <c r="AJ130">
        <v>2.3452160000000002</v>
      </c>
      <c r="AK130">
        <v>0.2054</v>
      </c>
      <c r="AL130">
        <v>20.51</v>
      </c>
      <c r="AM130">
        <v>20505</v>
      </c>
      <c r="AN130">
        <v>2.1907000000000001</v>
      </c>
      <c r="AO130">
        <v>30</v>
      </c>
      <c r="AP130">
        <v>21.87</v>
      </c>
      <c r="AQ130">
        <v>0.72</v>
      </c>
      <c r="AR130">
        <v>-6.09</v>
      </c>
      <c r="AS130">
        <v>1.94</v>
      </c>
      <c r="AT130">
        <v>23.33</v>
      </c>
      <c r="AU130">
        <v>6666.69</v>
      </c>
      <c r="AV130">
        <v>35.81</v>
      </c>
      <c r="AW130">
        <v>22.25</v>
      </c>
      <c r="AX130">
        <v>19.04</v>
      </c>
      <c r="AY130">
        <v>7.9308769999999997</v>
      </c>
      <c r="AZ130">
        <v>68.182107000000002</v>
      </c>
      <c r="BA130">
        <v>-22.076207</v>
      </c>
      <c r="BB130">
        <v>-3.9646270000000001</v>
      </c>
      <c r="BC130">
        <v>22.076207</v>
      </c>
      <c r="BD130">
        <v>14.142089</v>
      </c>
      <c r="BE130">
        <v>151.62575100000001</v>
      </c>
      <c r="BF130">
        <v>-17.200628999999999</v>
      </c>
      <c r="BG130">
        <v>3.3527239999999998</v>
      </c>
      <c r="BH130">
        <v>17.200628999999999</v>
      </c>
    </row>
    <row r="131" spans="1:60" x14ac:dyDescent="0.25">
      <c r="A131" t="s">
        <v>310</v>
      </c>
      <c r="B131" t="s">
        <v>311</v>
      </c>
      <c r="C131">
        <v>18</v>
      </c>
      <c r="D131" t="s">
        <v>275</v>
      </c>
      <c r="E131" cm="1">
        <f t="array" ref="E131">_xlfn.SWITCH(D131,"QPSK",0.1,"16QAM",0.25,"64QAM",0.5,"256QAM",0.8,"1024QAM",1,"")</f>
        <v>0.8</v>
      </c>
      <c r="F131" cm="1">
        <f t="array" ref="F131">_xlfn.SWITCH(D131,"QPSK",0.05,"16QAM",0.15,"64QAM",0.4,"256QAM",0.75,"1024QAM",1,"")</f>
        <v>0.75</v>
      </c>
      <c r="G131" t="s">
        <v>61</v>
      </c>
      <c r="H131">
        <v>1</v>
      </c>
      <c r="I131" t="s">
        <v>62</v>
      </c>
      <c r="J131">
        <v>2</v>
      </c>
      <c r="K131">
        <v>2</v>
      </c>
      <c r="L131" t="s">
        <v>63</v>
      </c>
      <c r="M131">
        <v>2</v>
      </c>
      <c r="N131">
        <v>0.47849999999999998</v>
      </c>
      <c r="O131">
        <v>0.48249999999999998</v>
      </c>
      <c r="P131">
        <v>10000</v>
      </c>
      <c r="Q131">
        <v>4689</v>
      </c>
      <c r="R131">
        <v>5311</v>
      </c>
      <c r="S131">
        <v>2.13</v>
      </c>
      <c r="T131">
        <v>1.1299999999999999</v>
      </c>
      <c r="W131">
        <v>4689</v>
      </c>
      <c r="X131">
        <v>0</v>
      </c>
      <c r="Y131">
        <v>53.11</v>
      </c>
      <c r="Z131">
        <v>0</v>
      </c>
      <c r="AB131">
        <v>481680000</v>
      </c>
      <c r="AC131">
        <v>225859752</v>
      </c>
      <c r="AD131">
        <v>481680000</v>
      </c>
      <c r="AE131">
        <v>225859752</v>
      </c>
      <c r="AG131">
        <v>100</v>
      </c>
      <c r="AH131">
        <v>46.89</v>
      </c>
      <c r="AI131">
        <v>1</v>
      </c>
      <c r="AJ131">
        <v>2.1326510000000001</v>
      </c>
      <c r="AK131">
        <v>0.22620000000000001</v>
      </c>
      <c r="AL131">
        <v>22.59</v>
      </c>
      <c r="AM131">
        <v>22586</v>
      </c>
      <c r="AN131">
        <v>2.4129999999999998</v>
      </c>
      <c r="AO131">
        <v>30</v>
      </c>
      <c r="AP131">
        <v>21.87</v>
      </c>
      <c r="AQ131">
        <v>0.72</v>
      </c>
      <c r="AR131">
        <v>-6.1</v>
      </c>
      <c r="AS131">
        <v>1.93</v>
      </c>
      <c r="AT131">
        <v>24.04</v>
      </c>
      <c r="AU131">
        <v>6666.69</v>
      </c>
      <c r="AV131">
        <v>35.81</v>
      </c>
      <c r="AW131">
        <v>22.71</v>
      </c>
      <c r="AX131">
        <v>19.32</v>
      </c>
      <c r="AY131">
        <v>7.4469440000000002</v>
      </c>
      <c r="AZ131">
        <v>60.632759</v>
      </c>
      <c r="BA131">
        <v>-22.616346</v>
      </c>
      <c r="BB131">
        <v>-4.9896640000000003</v>
      </c>
      <c r="BC131">
        <v>22.616346</v>
      </c>
      <c r="BD131">
        <v>12.882372999999999</v>
      </c>
      <c r="BE131">
        <v>144.345778</v>
      </c>
      <c r="BF131">
        <v>-18.041066000000001</v>
      </c>
      <c r="BG131">
        <v>2.8386450000000001</v>
      </c>
      <c r="BH131">
        <v>18.041066000000001</v>
      </c>
    </row>
    <row r="132" spans="1:60" x14ac:dyDescent="0.25">
      <c r="A132" t="s">
        <v>312</v>
      </c>
      <c r="B132" t="s">
        <v>313</v>
      </c>
      <c r="C132">
        <v>18</v>
      </c>
      <c r="D132" t="s">
        <v>275</v>
      </c>
      <c r="E132" cm="1">
        <f t="array" ref="E132">_xlfn.SWITCH(D132,"QPSK",0.1,"16QAM",0.25,"64QAM",0.5,"256QAM",0.8,"1024QAM",1,"")</f>
        <v>0.8</v>
      </c>
      <c r="F132" cm="1">
        <f t="array" ref="F132">_xlfn.SWITCH(D132,"QPSK",0.05,"16QAM",0.15,"64QAM",0.4,"256QAM",0.75,"1024QAM",1,"")</f>
        <v>0.75</v>
      </c>
      <c r="G132" t="s">
        <v>61</v>
      </c>
      <c r="H132">
        <v>4</v>
      </c>
      <c r="I132" t="s">
        <v>62</v>
      </c>
      <c r="J132">
        <v>2</v>
      </c>
      <c r="K132">
        <v>2</v>
      </c>
      <c r="L132" t="s">
        <v>63</v>
      </c>
      <c r="M132">
        <v>2</v>
      </c>
      <c r="N132">
        <v>0.47849999999999998</v>
      </c>
      <c r="O132">
        <v>0.48249999999999998</v>
      </c>
      <c r="P132">
        <v>10000</v>
      </c>
      <c r="Q132">
        <v>4677</v>
      </c>
      <c r="R132">
        <v>5323</v>
      </c>
      <c r="S132">
        <v>2.14</v>
      </c>
      <c r="T132">
        <v>1.1399999999999999</v>
      </c>
      <c r="W132">
        <v>4674</v>
      </c>
      <c r="X132">
        <v>0</v>
      </c>
      <c r="Y132">
        <v>53.26</v>
      </c>
      <c r="Z132">
        <v>0.06</v>
      </c>
      <c r="AB132">
        <v>481680000</v>
      </c>
      <c r="AC132">
        <v>225137232</v>
      </c>
      <c r="AD132">
        <v>481680000</v>
      </c>
      <c r="AE132">
        <v>225137232</v>
      </c>
      <c r="AG132">
        <v>99.94</v>
      </c>
      <c r="AH132">
        <v>46.74</v>
      </c>
      <c r="AI132">
        <v>1</v>
      </c>
      <c r="AJ132">
        <v>2.1381230000000002</v>
      </c>
      <c r="AK132">
        <v>0.22550000000000001</v>
      </c>
      <c r="AL132">
        <v>22.51</v>
      </c>
      <c r="AM132">
        <v>22514</v>
      </c>
      <c r="AN132">
        <v>2.4053</v>
      </c>
      <c r="AO132">
        <v>30</v>
      </c>
      <c r="AP132">
        <v>21.87</v>
      </c>
      <c r="AQ132">
        <v>0.72</v>
      </c>
      <c r="AR132">
        <v>-6.1</v>
      </c>
      <c r="AS132">
        <v>1.93</v>
      </c>
      <c r="AT132">
        <v>24.47</v>
      </c>
      <c r="AU132">
        <v>6666.69</v>
      </c>
      <c r="AV132">
        <v>35.81</v>
      </c>
      <c r="AW132">
        <v>22.71</v>
      </c>
      <c r="AX132">
        <v>19.329999999999998</v>
      </c>
      <c r="AY132">
        <v>7.4501340000000003</v>
      </c>
      <c r="AZ132">
        <v>60.782927999999998</v>
      </c>
      <c r="BA132">
        <v>-22.613323000000001</v>
      </c>
      <c r="BB132">
        <v>-4.9747070000000004</v>
      </c>
      <c r="BC132">
        <v>22.613323000000001</v>
      </c>
      <c r="BD132">
        <v>12.870837</v>
      </c>
      <c r="BE132">
        <v>144.408804</v>
      </c>
      <c r="BF132">
        <v>-18.048531000000001</v>
      </c>
      <c r="BG132">
        <v>2.8418329999999998</v>
      </c>
      <c r="BH132">
        <v>18.048531000000001</v>
      </c>
    </row>
    <row r="133" spans="1:60" x14ac:dyDescent="0.25">
      <c r="A133" t="s">
        <v>314</v>
      </c>
      <c r="B133" t="s">
        <v>315</v>
      </c>
      <c r="C133">
        <v>18</v>
      </c>
      <c r="D133" t="s">
        <v>275</v>
      </c>
      <c r="E133" cm="1">
        <f t="array" ref="E133">_xlfn.SWITCH(D133,"QPSK",0.1,"16QAM",0.25,"64QAM",0.5,"256QAM",0.8,"1024QAM",1,"")</f>
        <v>0.8</v>
      </c>
      <c r="F133" cm="1">
        <f t="array" ref="F133">_xlfn.SWITCH(D133,"QPSK",0.05,"16QAM",0.15,"64QAM",0.4,"256QAM",0.75,"1024QAM",1,"")</f>
        <v>0.75</v>
      </c>
      <c r="G133" t="s">
        <v>61</v>
      </c>
      <c r="H133">
        <v>8</v>
      </c>
      <c r="I133" t="s">
        <v>62</v>
      </c>
      <c r="J133">
        <v>2</v>
      </c>
      <c r="K133">
        <v>2</v>
      </c>
      <c r="L133" t="s">
        <v>63</v>
      </c>
      <c r="M133">
        <v>2</v>
      </c>
      <c r="N133">
        <v>0.47849999999999998</v>
      </c>
      <c r="O133">
        <v>0.48249999999999998</v>
      </c>
      <c r="P133">
        <v>10000</v>
      </c>
      <c r="Q133">
        <v>4684</v>
      </c>
      <c r="R133">
        <v>5316</v>
      </c>
      <c r="S133">
        <v>2.13</v>
      </c>
      <c r="T133">
        <v>1.1299999999999999</v>
      </c>
      <c r="W133">
        <v>4678</v>
      </c>
      <c r="X133">
        <v>0</v>
      </c>
      <c r="Y133">
        <v>53.22</v>
      </c>
      <c r="Z133">
        <v>0.13</v>
      </c>
      <c r="AB133">
        <v>481680000</v>
      </c>
      <c r="AC133">
        <v>225329904</v>
      </c>
      <c r="AD133">
        <v>481680000</v>
      </c>
      <c r="AE133">
        <v>225329904</v>
      </c>
      <c r="AG133">
        <v>99.87</v>
      </c>
      <c r="AH133">
        <v>46.78</v>
      </c>
      <c r="AI133">
        <v>1</v>
      </c>
      <c r="AJ133">
        <v>2.1349269999999998</v>
      </c>
      <c r="AK133">
        <v>0.22570000000000001</v>
      </c>
      <c r="AL133">
        <v>22.53</v>
      </c>
      <c r="AM133">
        <v>22533</v>
      </c>
      <c r="AN133">
        <v>2.4074</v>
      </c>
      <c r="AO133">
        <v>30</v>
      </c>
      <c r="AP133">
        <v>21.87</v>
      </c>
      <c r="AQ133">
        <v>0.72</v>
      </c>
      <c r="AR133">
        <v>-6.1</v>
      </c>
      <c r="AS133">
        <v>1.93</v>
      </c>
      <c r="AT133">
        <v>24.35</v>
      </c>
      <c r="AU133">
        <v>6666.69</v>
      </c>
      <c r="AV133">
        <v>35.81</v>
      </c>
      <c r="AW133">
        <v>22.71</v>
      </c>
      <c r="AX133">
        <v>19.329999999999998</v>
      </c>
      <c r="AY133">
        <v>7.4461259999999996</v>
      </c>
      <c r="AZ133">
        <v>60.629441</v>
      </c>
      <c r="BA133">
        <v>-22.616776999999999</v>
      </c>
      <c r="BB133">
        <v>-4.9868600000000001</v>
      </c>
      <c r="BC133">
        <v>22.616776999999999</v>
      </c>
      <c r="BD133">
        <v>12.874732</v>
      </c>
      <c r="BE133">
        <v>144.94256899999999</v>
      </c>
      <c r="BF133">
        <v>-18.047249999999998</v>
      </c>
      <c r="BG133">
        <v>2.8641169999999998</v>
      </c>
      <c r="BH133">
        <v>18.047249999999998</v>
      </c>
    </row>
    <row r="134" spans="1:60" x14ac:dyDescent="0.25">
      <c r="A134" t="s">
        <v>316</v>
      </c>
      <c r="B134" t="s">
        <v>317</v>
      </c>
      <c r="C134">
        <v>2</v>
      </c>
      <c r="D134" t="s">
        <v>275</v>
      </c>
      <c r="E134" cm="1">
        <f t="array" ref="E134">_xlfn.SWITCH(D134,"QPSK",0.1,"16QAM",0.25,"64QAM",0.5,"256QAM",0.8,"1024QAM",1,"")</f>
        <v>0.8</v>
      </c>
      <c r="F134" cm="1">
        <f t="array" ref="F134">_xlfn.SWITCH(D134,"QPSK",0.05,"16QAM",0.15,"64QAM",0.4,"256QAM",0.75,"1024QAM",1,"")</f>
        <v>0.75</v>
      </c>
      <c r="G134" t="s">
        <v>61</v>
      </c>
      <c r="H134">
        <v>1</v>
      </c>
      <c r="I134" t="s">
        <v>62</v>
      </c>
      <c r="J134">
        <v>2</v>
      </c>
      <c r="K134">
        <v>2</v>
      </c>
      <c r="L134" t="s">
        <v>63</v>
      </c>
      <c r="M134">
        <v>2</v>
      </c>
      <c r="N134">
        <v>0.47849999999999998</v>
      </c>
      <c r="O134">
        <v>0.48249999999999998</v>
      </c>
      <c r="P134">
        <v>10000</v>
      </c>
      <c r="Q134">
        <v>2500</v>
      </c>
      <c r="R134">
        <v>7500</v>
      </c>
      <c r="S134">
        <v>4</v>
      </c>
      <c r="T134">
        <v>3</v>
      </c>
      <c r="W134">
        <v>12</v>
      </c>
      <c r="X134">
        <v>0</v>
      </c>
      <c r="Y134">
        <v>99.88</v>
      </c>
      <c r="Z134">
        <v>99.52</v>
      </c>
      <c r="AB134">
        <v>481680000</v>
      </c>
      <c r="AC134">
        <v>578016</v>
      </c>
      <c r="AD134">
        <v>481680000</v>
      </c>
      <c r="AE134">
        <v>578016</v>
      </c>
      <c r="AG134">
        <v>0.48</v>
      </c>
      <c r="AH134">
        <v>0.12</v>
      </c>
      <c r="AI134">
        <v>1</v>
      </c>
      <c r="AJ134">
        <v>4</v>
      </c>
      <c r="AK134">
        <v>5.9999999999999995E-4</v>
      </c>
      <c r="AL134">
        <v>0.06</v>
      </c>
      <c r="AM134">
        <v>58</v>
      </c>
      <c r="AN134">
        <v>6.1999999999999998E-3</v>
      </c>
      <c r="AO134">
        <v>30</v>
      </c>
      <c r="AP134">
        <v>21.87</v>
      </c>
      <c r="AQ134">
        <v>0.72</v>
      </c>
      <c r="AR134">
        <v>-5.96</v>
      </c>
      <c r="AS134">
        <v>1.86</v>
      </c>
      <c r="AT134">
        <v>12.56</v>
      </c>
      <c r="AU134">
        <v>6666.69</v>
      </c>
      <c r="AV134">
        <v>35.81</v>
      </c>
      <c r="AW134">
        <v>20.11</v>
      </c>
      <c r="AX134">
        <v>17.559999999999999</v>
      </c>
      <c r="AY134">
        <v>15.031333</v>
      </c>
      <c r="AZ134">
        <v>126.509242</v>
      </c>
      <c r="BA134">
        <v>-16.544162</v>
      </c>
      <c r="BB134">
        <v>1.8815109999999999</v>
      </c>
      <c r="BC134">
        <v>16.544162</v>
      </c>
      <c r="BD134">
        <v>23.887598000000001</v>
      </c>
      <c r="BE134">
        <v>226.299564</v>
      </c>
      <c r="BF134">
        <v>-12.573216</v>
      </c>
      <c r="BG134">
        <v>6.8016629999999996</v>
      </c>
      <c r="BH134">
        <v>12.573216</v>
      </c>
    </row>
    <row r="135" spans="1:60" x14ac:dyDescent="0.25">
      <c r="A135" t="s">
        <v>318</v>
      </c>
      <c r="B135" t="s">
        <v>319</v>
      </c>
      <c r="C135">
        <v>2</v>
      </c>
      <c r="D135" t="s">
        <v>275</v>
      </c>
      <c r="E135" cm="1">
        <f t="array" ref="E135">_xlfn.SWITCH(D135,"QPSK",0.1,"16QAM",0.25,"64QAM",0.5,"256QAM",0.8,"1024QAM",1,"")</f>
        <v>0.8</v>
      </c>
      <c r="F135" cm="1">
        <f t="array" ref="F135">_xlfn.SWITCH(D135,"QPSK",0.05,"16QAM",0.15,"64QAM",0.4,"256QAM",0.75,"1024QAM",1,"")</f>
        <v>0.75</v>
      </c>
      <c r="G135" t="s">
        <v>61</v>
      </c>
      <c r="H135">
        <v>4</v>
      </c>
      <c r="I135" t="s">
        <v>62</v>
      </c>
      <c r="J135">
        <v>2</v>
      </c>
      <c r="K135">
        <v>2</v>
      </c>
      <c r="L135" t="s">
        <v>63</v>
      </c>
      <c r="M135">
        <v>2</v>
      </c>
      <c r="N135">
        <v>0.47849999999999998</v>
      </c>
      <c r="O135">
        <v>0.48249999999999998</v>
      </c>
      <c r="P135">
        <v>10000</v>
      </c>
      <c r="Q135">
        <v>2500</v>
      </c>
      <c r="R135">
        <v>7500</v>
      </c>
      <c r="S135">
        <v>4</v>
      </c>
      <c r="T135">
        <v>3</v>
      </c>
      <c r="W135">
        <v>12</v>
      </c>
      <c r="X135">
        <v>0</v>
      </c>
      <c r="Y135">
        <v>99.88</v>
      </c>
      <c r="Z135">
        <v>99.52</v>
      </c>
      <c r="AB135">
        <v>481680000</v>
      </c>
      <c r="AC135">
        <v>578016</v>
      </c>
      <c r="AD135">
        <v>481680000</v>
      </c>
      <c r="AE135">
        <v>578016</v>
      </c>
      <c r="AG135">
        <v>0.48</v>
      </c>
      <c r="AH135">
        <v>0.12</v>
      </c>
      <c r="AI135">
        <v>1</v>
      </c>
      <c r="AJ135">
        <v>4</v>
      </c>
      <c r="AK135">
        <v>5.9999999999999995E-4</v>
      </c>
      <c r="AL135">
        <v>0.06</v>
      </c>
      <c r="AM135">
        <v>58</v>
      </c>
      <c r="AN135">
        <v>6.1999999999999998E-3</v>
      </c>
      <c r="AO135">
        <v>30</v>
      </c>
      <c r="AP135">
        <v>21.87</v>
      </c>
      <c r="AQ135">
        <v>0.72</v>
      </c>
      <c r="AR135">
        <v>-5.96</v>
      </c>
      <c r="AS135">
        <v>1.87</v>
      </c>
      <c r="AT135">
        <v>12.51</v>
      </c>
      <c r="AU135">
        <v>6666.69</v>
      </c>
      <c r="AV135">
        <v>35.81</v>
      </c>
      <c r="AW135">
        <v>20.11</v>
      </c>
      <c r="AX135">
        <v>17.55</v>
      </c>
      <c r="AY135">
        <v>15.030134</v>
      </c>
      <c r="AZ135">
        <v>126.448432</v>
      </c>
      <c r="BA135">
        <v>-16.544321</v>
      </c>
      <c r="BB135">
        <v>1.8774</v>
      </c>
      <c r="BC135">
        <v>16.544321</v>
      </c>
      <c r="BD135">
        <v>23.901177000000001</v>
      </c>
      <c r="BE135">
        <v>227.317317</v>
      </c>
      <c r="BF135">
        <v>-12.568292</v>
      </c>
      <c r="BG135">
        <v>6.8359730000000001</v>
      </c>
      <c r="BH135">
        <v>12.568292</v>
      </c>
    </row>
    <row r="136" spans="1:60" x14ac:dyDescent="0.25">
      <c r="A136" t="s">
        <v>320</v>
      </c>
      <c r="B136" t="s">
        <v>321</v>
      </c>
      <c r="C136">
        <v>2</v>
      </c>
      <c r="D136" t="s">
        <v>275</v>
      </c>
      <c r="E136" cm="1">
        <f t="array" ref="E136">_xlfn.SWITCH(D136,"QPSK",0.1,"16QAM",0.25,"64QAM",0.5,"256QAM",0.8,"1024QAM",1,"")</f>
        <v>0.8</v>
      </c>
      <c r="F136" cm="1">
        <f t="array" ref="F136">_xlfn.SWITCH(D136,"QPSK",0.05,"16QAM",0.15,"64QAM",0.4,"256QAM",0.75,"1024QAM",1,"")</f>
        <v>0.75</v>
      </c>
      <c r="G136" t="s">
        <v>61</v>
      </c>
      <c r="H136">
        <v>8</v>
      </c>
      <c r="I136" t="s">
        <v>62</v>
      </c>
      <c r="J136">
        <v>2</v>
      </c>
      <c r="K136">
        <v>2</v>
      </c>
      <c r="L136" t="s">
        <v>63</v>
      </c>
      <c r="M136">
        <v>2</v>
      </c>
      <c r="N136">
        <v>0.47849999999999998</v>
      </c>
      <c r="O136">
        <v>0.48249999999999998</v>
      </c>
      <c r="P136">
        <v>10000</v>
      </c>
      <c r="Q136">
        <v>2504</v>
      </c>
      <c r="R136">
        <v>7496</v>
      </c>
      <c r="S136">
        <v>3.99</v>
      </c>
      <c r="T136">
        <v>2.99</v>
      </c>
      <c r="W136">
        <v>8</v>
      </c>
      <c r="X136">
        <v>0</v>
      </c>
      <c r="Y136">
        <v>99.92</v>
      </c>
      <c r="Z136">
        <v>99.68</v>
      </c>
      <c r="AB136">
        <v>481680000</v>
      </c>
      <c r="AC136">
        <v>385344</v>
      </c>
      <c r="AD136">
        <v>481680000</v>
      </c>
      <c r="AE136">
        <v>385344</v>
      </c>
      <c r="AG136">
        <v>0.32</v>
      </c>
      <c r="AH136">
        <v>0.08</v>
      </c>
      <c r="AI136">
        <v>1</v>
      </c>
      <c r="AJ136">
        <v>3.9936099999999999</v>
      </c>
      <c r="AK136">
        <v>4.0000000000000002E-4</v>
      </c>
      <c r="AL136">
        <v>0.04</v>
      </c>
      <c r="AM136">
        <v>39</v>
      </c>
      <c r="AN136">
        <v>4.1000000000000003E-3</v>
      </c>
      <c r="AO136">
        <v>30</v>
      </c>
      <c r="AP136">
        <v>21.87</v>
      </c>
      <c r="AQ136">
        <v>0.72</v>
      </c>
      <c r="AR136">
        <v>-5.96</v>
      </c>
      <c r="AS136">
        <v>1.86</v>
      </c>
      <c r="AT136">
        <v>12.48</v>
      </c>
      <c r="AU136">
        <v>6666.69</v>
      </c>
      <c r="AV136">
        <v>35.81</v>
      </c>
      <c r="AW136">
        <v>20.11</v>
      </c>
      <c r="AX136">
        <v>17.55</v>
      </c>
      <c r="AY136">
        <v>15.03016</v>
      </c>
      <c r="AZ136">
        <v>126.251868</v>
      </c>
      <c r="BA136">
        <v>-16.544881</v>
      </c>
      <c r="BB136">
        <v>1.863607</v>
      </c>
      <c r="BC136">
        <v>16.544881</v>
      </c>
      <c r="BD136">
        <v>23.897341999999998</v>
      </c>
      <c r="BE136">
        <v>226.87814599999999</v>
      </c>
      <c r="BF136">
        <v>-12.570479000000001</v>
      </c>
      <c r="BG136">
        <v>6.8142389999999997</v>
      </c>
      <c r="BH136">
        <v>12.570479000000001</v>
      </c>
    </row>
    <row r="137" spans="1:60" x14ac:dyDescent="0.25">
      <c r="A137" t="s">
        <v>322</v>
      </c>
      <c r="B137" t="s">
        <v>323</v>
      </c>
      <c r="C137">
        <v>20</v>
      </c>
      <c r="D137" t="s">
        <v>275</v>
      </c>
      <c r="E137" cm="1">
        <f t="array" ref="E137">_xlfn.SWITCH(D137,"QPSK",0.1,"16QAM",0.25,"64QAM",0.5,"256QAM",0.8,"1024QAM",1,"")</f>
        <v>0.8</v>
      </c>
      <c r="F137" cm="1">
        <f t="array" ref="F137">_xlfn.SWITCH(D137,"QPSK",0.05,"16QAM",0.15,"64QAM",0.4,"256QAM",0.75,"1024QAM",1,"")</f>
        <v>0.75</v>
      </c>
      <c r="G137" t="s">
        <v>61</v>
      </c>
      <c r="H137">
        <v>1</v>
      </c>
      <c r="I137" t="s">
        <v>62</v>
      </c>
      <c r="J137">
        <v>2</v>
      </c>
      <c r="K137">
        <v>2</v>
      </c>
      <c r="L137" t="s">
        <v>63</v>
      </c>
      <c r="M137">
        <v>2</v>
      </c>
      <c r="N137">
        <v>0.47849999999999998</v>
      </c>
      <c r="O137">
        <v>0.48249999999999998</v>
      </c>
      <c r="P137">
        <v>10000</v>
      </c>
      <c r="Q137">
        <v>5218</v>
      </c>
      <c r="R137">
        <v>4782</v>
      </c>
      <c r="S137">
        <v>1.92</v>
      </c>
      <c r="T137">
        <v>0.92</v>
      </c>
      <c r="W137">
        <v>5217</v>
      </c>
      <c r="X137">
        <v>0</v>
      </c>
      <c r="Y137">
        <v>47.83</v>
      </c>
      <c r="Z137">
        <v>0.02</v>
      </c>
      <c r="AB137">
        <v>481680000</v>
      </c>
      <c r="AC137">
        <v>251292456</v>
      </c>
      <c r="AD137">
        <v>481680000</v>
      </c>
      <c r="AE137">
        <v>251292456</v>
      </c>
      <c r="AG137">
        <v>99.98</v>
      </c>
      <c r="AH137">
        <v>52.17</v>
      </c>
      <c r="AI137">
        <v>1</v>
      </c>
      <c r="AJ137">
        <v>1.9164429999999999</v>
      </c>
      <c r="AK137">
        <v>0.25169999999999998</v>
      </c>
      <c r="AL137">
        <v>25.13</v>
      </c>
      <c r="AM137">
        <v>25129</v>
      </c>
      <c r="AN137">
        <v>2.6846999999999999</v>
      </c>
      <c r="AO137">
        <v>30</v>
      </c>
      <c r="AP137">
        <v>21.87</v>
      </c>
      <c r="AQ137">
        <v>0.72</v>
      </c>
      <c r="AR137">
        <v>-6.11</v>
      </c>
      <c r="AS137">
        <v>1.94</v>
      </c>
      <c r="AT137">
        <v>25.9</v>
      </c>
      <c r="AU137">
        <v>6666.69</v>
      </c>
      <c r="AV137">
        <v>35.81</v>
      </c>
      <c r="AW137">
        <v>23.22</v>
      </c>
      <c r="AX137">
        <v>19.760000000000002</v>
      </c>
      <c r="AY137">
        <v>6.9878239999999998</v>
      </c>
      <c r="AZ137">
        <v>52.486531999999997</v>
      </c>
      <c r="BA137">
        <v>-23.164009</v>
      </c>
      <c r="BB137">
        <v>-6.2283540000000004</v>
      </c>
      <c r="BC137">
        <v>23.164009</v>
      </c>
      <c r="BD137">
        <v>11.694243</v>
      </c>
      <c r="BE137">
        <v>136.08851000000001</v>
      </c>
      <c r="BF137">
        <v>-18.896539000000001</v>
      </c>
      <c r="BG137">
        <v>2.2341790000000001</v>
      </c>
      <c r="BH137">
        <v>18.896539000000001</v>
      </c>
    </row>
    <row r="138" spans="1:60" x14ac:dyDescent="0.25">
      <c r="A138" t="s">
        <v>324</v>
      </c>
      <c r="B138" t="s">
        <v>325</v>
      </c>
      <c r="C138">
        <v>20</v>
      </c>
      <c r="D138" t="s">
        <v>275</v>
      </c>
      <c r="E138" cm="1">
        <f t="array" ref="E138">_xlfn.SWITCH(D138,"QPSK",0.1,"16QAM",0.25,"64QAM",0.5,"256QAM",0.8,"1024QAM",1,"")</f>
        <v>0.8</v>
      </c>
      <c r="F138" cm="1">
        <f t="array" ref="F138">_xlfn.SWITCH(D138,"QPSK",0.05,"16QAM",0.15,"64QAM",0.4,"256QAM",0.75,"1024QAM",1,"")</f>
        <v>0.75</v>
      </c>
      <c r="G138" t="s">
        <v>61</v>
      </c>
      <c r="H138">
        <v>4</v>
      </c>
      <c r="I138" t="s">
        <v>62</v>
      </c>
      <c r="J138">
        <v>2</v>
      </c>
      <c r="K138">
        <v>2</v>
      </c>
      <c r="L138" t="s">
        <v>63</v>
      </c>
      <c r="M138">
        <v>2</v>
      </c>
      <c r="N138">
        <v>0.47849999999999998</v>
      </c>
      <c r="O138">
        <v>0.48249999999999998</v>
      </c>
      <c r="P138">
        <v>10000</v>
      </c>
      <c r="Q138">
        <v>5193</v>
      </c>
      <c r="R138">
        <v>4807</v>
      </c>
      <c r="S138">
        <v>1.93</v>
      </c>
      <c r="T138">
        <v>0.93</v>
      </c>
      <c r="W138">
        <v>5190</v>
      </c>
      <c r="X138">
        <v>0</v>
      </c>
      <c r="Y138">
        <v>48.1</v>
      </c>
      <c r="Z138">
        <v>0.06</v>
      </c>
      <c r="AB138">
        <v>481680000</v>
      </c>
      <c r="AC138">
        <v>249991920</v>
      </c>
      <c r="AD138">
        <v>481680000</v>
      </c>
      <c r="AE138">
        <v>249991920</v>
      </c>
      <c r="AG138">
        <v>99.94</v>
      </c>
      <c r="AH138">
        <v>51.9</v>
      </c>
      <c r="AI138">
        <v>1</v>
      </c>
      <c r="AJ138">
        <v>1.9256690000000001</v>
      </c>
      <c r="AK138">
        <v>0.25040000000000001</v>
      </c>
      <c r="AL138">
        <v>25</v>
      </c>
      <c r="AM138">
        <v>24999</v>
      </c>
      <c r="AN138">
        <v>2.6709000000000001</v>
      </c>
      <c r="AO138">
        <v>30</v>
      </c>
      <c r="AP138">
        <v>21.87</v>
      </c>
      <c r="AQ138">
        <v>0.72</v>
      </c>
      <c r="AR138">
        <v>-6.11</v>
      </c>
      <c r="AS138">
        <v>1.94</v>
      </c>
      <c r="AT138">
        <v>25.9</v>
      </c>
      <c r="AU138">
        <v>6666.69</v>
      </c>
      <c r="AV138">
        <v>35.81</v>
      </c>
      <c r="AW138">
        <v>23.22</v>
      </c>
      <c r="AX138">
        <v>19.75</v>
      </c>
      <c r="AY138">
        <v>6.9863119999999999</v>
      </c>
      <c r="AZ138">
        <v>52.456116000000002</v>
      </c>
      <c r="BA138">
        <v>-23.165790000000001</v>
      </c>
      <c r="BB138">
        <v>-6.2237970000000002</v>
      </c>
      <c r="BC138">
        <v>23.165790000000001</v>
      </c>
      <c r="BD138">
        <v>11.699376000000001</v>
      </c>
      <c r="BE138">
        <v>135.76095100000001</v>
      </c>
      <c r="BF138">
        <v>-18.891764999999999</v>
      </c>
      <c r="BG138">
        <v>2.212777</v>
      </c>
      <c r="BH138">
        <v>18.891764999999999</v>
      </c>
    </row>
    <row r="139" spans="1:60" x14ac:dyDescent="0.25">
      <c r="A139" t="s">
        <v>326</v>
      </c>
      <c r="B139" t="s">
        <v>327</v>
      </c>
      <c r="C139">
        <v>20</v>
      </c>
      <c r="D139" t="s">
        <v>275</v>
      </c>
      <c r="E139" cm="1">
        <f t="array" ref="E139">_xlfn.SWITCH(D139,"QPSK",0.1,"16QAM",0.25,"64QAM",0.5,"256QAM",0.8,"1024QAM",1,"")</f>
        <v>0.8</v>
      </c>
      <c r="F139" cm="1">
        <f t="array" ref="F139">_xlfn.SWITCH(D139,"QPSK",0.05,"16QAM",0.15,"64QAM",0.4,"256QAM",0.75,"1024QAM",1,"")</f>
        <v>0.75</v>
      </c>
      <c r="G139" t="s">
        <v>61</v>
      </c>
      <c r="H139">
        <v>8</v>
      </c>
      <c r="I139" t="s">
        <v>62</v>
      </c>
      <c r="J139">
        <v>2</v>
      </c>
      <c r="K139">
        <v>2</v>
      </c>
      <c r="L139" t="s">
        <v>63</v>
      </c>
      <c r="M139">
        <v>2</v>
      </c>
      <c r="N139">
        <v>0.47849999999999998</v>
      </c>
      <c r="O139">
        <v>0.48249999999999998</v>
      </c>
      <c r="P139">
        <v>10000</v>
      </c>
      <c r="Q139">
        <v>5169</v>
      </c>
      <c r="R139">
        <v>4831</v>
      </c>
      <c r="S139">
        <v>1.93</v>
      </c>
      <c r="T139">
        <v>0.93</v>
      </c>
      <c r="W139">
        <v>5166</v>
      </c>
      <c r="X139">
        <v>0</v>
      </c>
      <c r="Y139">
        <v>48.34</v>
      </c>
      <c r="Z139">
        <v>0.06</v>
      </c>
      <c r="AB139">
        <v>481680000</v>
      </c>
      <c r="AC139">
        <v>248835888</v>
      </c>
      <c r="AD139">
        <v>481680000</v>
      </c>
      <c r="AE139">
        <v>248835888</v>
      </c>
      <c r="AG139">
        <v>99.94</v>
      </c>
      <c r="AH139">
        <v>51.66</v>
      </c>
      <c r="AI139">
        <v>1</v>
      </c>
      <c r="AJ139">
        <v>1.9346099999999999</v>
      </c>
      <c r="AK139">
        <v>0.2492</v>
      </c>
      <c r="AL139">
        <v>24.88</v>
      </c>
      <c r="AM139">
        <v>24884</v>
      </c>
      <c r="AN139">
        <v>2.6585000000000001</v>
      </c>
      <c r="AO139">
        <v>30</v>
      </c>
      <c r="AP139">
        <v>21.87</v>
      </c>
      <c r="AQ139">
        <v>0.72</v>
      </c>
      <c r="AR139">
        <v>-6.11</v>
      </c>
      <c r="AS139">
        <v>1.94</v>
      </c>
      <c r="AT139">
        <v>25.98</v>
      </c>
      <c r="AU139">
        <v>6666.69</v>
      </c>
      <c r="AV139">
        <v>35.81</v>
      </c>
      <c r="AW139">
        <v>23.22</v>
      </c>
      <c r="AX139">
        <v>19.75</v>
      </c>
      <c r="AY139">
        <v>6.9865529999999998</v>
      </c>
      <c r="AZ139">
        <v>52.406615000000002</v>
      </c>
      <c r="BA139">
        <v>-23.165614000000001</v>
      </c>
      <c r="BB139">
        <v>-6.2388519999999996</v>
      </c>
      <c r="BC139">
        <v>23.165614000000001</v>
      </c>
      <c r="BD139">
        <v>11.701496000000001</v>
      </c>
      <c r="BE139">
        <v>136.17928800000001</v>
      </c>
      <c r="BF139">
        <v>-18.890022999999999</v>
      </c>
      <c r="BG139">
        <v>2.240669</v>
      </c>
      <c r="BH139">
        <v>18.890022999999999</v>
      </c>
    </row>
    <row r="140" spans="1:60" x14ac:dyDescent="0.25">
      <c r="A140" t="s">
        <v>328</v>
      </c>
      <c r="B140" t="s">
        <v>329</v>
      </c>
      <c r="C140">
        <v>22</v>
      </c>
      <c r="D140" t="s">
        <v>275</v>
      </c>
      <c r="E140" cm="1">
        <f t="array" ref="E140">_xlfn.SWITCH(D140,"QPSK",0.1,"16QAM",0.25,"64QAM",0.5,"256QAM",0.8,"1024QAM",1,"")</f>
        <v>0.8</v>
      </c>
      <c r="F140" cm="1">
        <f t="array" ref="F140">_xlfn.SWITCH(D140,"QPSK",0.05,"16QAM",0.15,"64QAM",0.4,"256QAM",0.75,"1024QAM",1,"")</f>
        <v>0.75</v>
      </c>
      <c r="G140" t="s">
        <v>61</v>
      </c>
      <c r="H140">
        <v>1</v>
      </c>
      <c r="I140" t="s">
        <v>62</v>
      </c>
      <c r="J140">
        <v>2</v>
      </c>
      <c r="K140">
        <v>2</v>
      </c>
      <c r="L140" t="s">
        <v>63</v>
      </c>
      <c r="M140">
        <v>2</v>
      </c>
      <c r="N140">
        <v>0.47849999999999998</v>
      </c>
      <c r="O140">
        <v>0.48249999999999998</v>
      </c>
      <c r="P140">
        <v>10000</v>
      </c>
      <c r="Q140">
        <v>6106</v>
      </c>
      <c r="R140">
        <v>3894</v>
      </c>
      <c r="S140">
        <v>1.64</v>
      </c>
      <c r="T140">
        <v>0.64</v>
      </c>
      <c r="W140">
        <v>6106</v>
      </c>
      <c r="X140">
        <v>0</v>
      </c>
      <c r="Y140">
        <v>38.94</v>
      </c>
      <c r="Z140">
        <v>0</v>
      </c>
      <c r="AB140">
        <v>481680000</v>
      </c>
      <c r="AC140">
        <v>294113808</v>
      </c>
      <c r="AD140">
        <v>481680000</v>
      </c>
      <c r="AE140">
        <v>294113808</v>
      </c>
      <c r="AG140">
        <v>100</v>
      </c>
      <c r="AH140">
        <v>61.06</v>
      </c>
      <c r="AI140">
        <v>1</v>
      </c>
      <c r="AJ140">
        <v>1.6377330000000001</v>
      </c>
      <c r="AK140">
        <v>0.29459999999999997</v>
      </c>
      <c r="AL140">
        <v>29.41</v>
      </c>
      <c r="AM140">
        <v>29411</v>
      </c>
      <c r="AN140">
        <v>3.1421999999999999</v>
      </c>
      <c r="AO140">
        <v>30</v>
      </c>
      <c r="AP140">
        <v>21.87</v>
      </c>
      <c r="AQ140">
        <v>0.72</v>
      </c>
      <c r="AR140">
        <v>-6.12</v>
      </c>
      <c r="AS140">
        <v>1.94</v>
      </c>
      <c r="AT140">
        <v>27.85</v>
      </c>
      <c r="AU140">
        <v>6666.69</v>
      </c>
      <c r="AV140">
        <v>35.81</v>
      </c>
      <c r="AW140">
        <v>23.77</v>
      </c>
      <c r="AX140">
        <v>20.21</v>
      </c>
      <c r="AY140">
        <v>6.5428930000000003</v>
      </c>
      <c r="AZ140">
        <v>46.037239</v>
      </c>
      <c r="BA140">
        <v>-23.741686000000001</v>
      </c>
      <c r="BB140">
        <v>-7.3736050000000004</v>
      </c>
      <c r="BC140">
        <v>23.741686000000001</v>
      </c>
      <c r="BD140">
        <v>10.706511000000001</v>
      </c>
      <c r="BE140">
        <v>128.29892899999999</v>
      </c>
      <c r="BF140">
        <v>-19.662716</v>
      </c>
      <c r="BG140">
        <v>1.6353949999999999</v>
      </c>
      <c r="BH140">
        <v>19.662716</v>
      </c>
    </row>
    <row r="141" spans="1:60" x14ac:dyDescent="0.25">
      <c r="A141" t="s">
        <v>330</v>
      </c>
      <c r="B141" t="s">
        <v>331</v>
      </c>
      <c r="C141">
        <v>22</v>
      </c>
      <c r="D141" t="s">
        <v>275</v>
      </c>
      <c r="E141" cm="1">
        <f t="array" ref="E141">_xlfn.SWITCH(D141,"QPSK",0.1,"16QAM",0.25,"64QAM",0.5,"256QAM",0.8,"1024QAM",1,"")</f>
        <v>0.8</v>
      </c>
      <c r="F141" cm="1">
        <f t="array" ref="F141">_xlfn.SWITCH(D141,"QPSK",0.05,"16QAM",0.15,"64QAM",0.4,"256QAM",0.75,"1024QAM",1,"")</f>
        <v>0.75</v>
      </c>
      <c r="G141" t="s">
        <v>61</v>
      </c>
      <c r="H141">
        <v>4</v>
      </c>
      <c r="I141" t="s">
        <v>62</v>
      </c>
      <c r="J141">
        <v>2</v>
      </c>
      <c r="K141">
        <v>2</v>
      </c>
      <c r="L141" t="s">
        <v>63</v>
      </c>
      <c r="M141">
        <v>2</v>
      </c>
      <c r="N141">
        <v>0.47849999999999998</v>
      </c>
      <c r="O141">
        <v>0.48249999999999998</v>
      </c>
      <c r="P141">
        <v>10000</v>
      </c>
      <c r="Q141">
        <v>6085</v>
      </c>
      <c r="R141">
        <v>3915</v>
      </c>
      <c r="S141">
        <v>1.64</v>
      </c>
      <c r="T141">
        <v>0.64</v>
      </c>
      <c r="W141">
        <v>6082</v>
      </c>
      <c r="X141">
        <v>0</v>
      </c>
      <c r="Y141">
        <v>39.18</v>
      </c>
      <c r="Z141">
        <v>0.05</v>
      </c>
      <c r="AB141">
        <v>481680000</v>
      </c>
      <c r="AC141">
        <v>292957776</v>
      </c>
      <c r="AD141">
        <v>481680000</v>
      </c>
      <c r="AE141">
        <v>292957776</v>
      </c>
      <c r="AG141">
        <v>99.95</v>
      </c>
      <c r="AH141">
        <v>60.82</v>
      </c>
      <c r="AI141">
        <v>1</v>
      </c>
      <c r="AJ141">
        <v>1.6433850000000001</v>
      </c>
      <c r="AK141">
        <v>0.29339999999999999</v>
      </c>
      <c r="AL141">
        <v>29.3</v>
      </c>
      <c r="AM141">
        <v>29296</v>
      </c>
      <c r="AN141">
        <v>3.1299000000000001</v>
      </c>
      <c r="AO141">
        <v>30</v>
      </c>
      <c r="AP141">
        <v>21.87</v>
      </c>
      <c r="AQ141">
        <v>0.72</v>
      </c>
      <c r="AR141">
        <v>-6.12</v>
      </c>
      <c r="AS141">
        <v>1.94</v>
      </c>
      <c r="AT141">
        <v>28.2</v>
      </c>
      <c r="AU141">
        <v>6666.69</v>
      </c>
      <c r="AV141">
        <v>35.81</v>
      </c>
      <c r="AW141">
        <v>23.77</v>
      </c>
      <c r="AX141">
        <v>20.22</v>
      </c>
      <c r="AY141">
        <v>6.5416819999999998</v>
      </c>
      <c r="AZ141">
        <v>45.958292999999998</v>
      </c>
      <c r="BA141">
        <v>-23.743224000000001</v>
      </c>
      <c r="BB141">
        <v>-7.4006179999999997</v>
      </c>
      <c r="BC141">
        <v>23.743224000000001</v>
      </c>
      <c r="BD141">
        <v>10.692387</v>
      </c>
      <c r="BE141">
        <v>127.621726</v>
      </c>
      <c r="BF141">
        <v>-19.671120999999999</v>
      </c>
      <c r="BG141">
        <v>1.5929150000000001</v>
      </c>
      <c r="BH141">
        <v>19.671120999999999</v>
      </c>
    </row>
    <row r="142" spans="1:60" x14ac:dyDescent="0.25">
      <c r="A142" t="s">
        <v>332</v>
      </c>
      <c r="B142" t="s">
        <v>333</v>
      </c>
      <c r="C142">
        <v>22</v>
      </c>
      <c r="D142" t="s">
        <v>275</v>
      </c>
      <c r="E142" cm="1">
        <f t="array" ref="E142">_xlfn.SWITCH(D142,"QPSK",0.1,"16QAM",0.25,"64QAM",0.5,"256QAM",0.8,"1024QAM",1,"")</f>
        <v>0.8</v>
      </c>
      <c r="F142" cm="1">
        <f t="array" ref="F142">_xlfn.SWITCH(D142,"QPSK",0.05,"16QAM",0.15,"64QAM",0.4,"256QAM",0.75,"1024QAM",1,"")</f>
        <v>0.75</v>
      </c>
      <c r="G142" t="s">
        <v>61</v>
      </c>
      <c r="H142">
        <v>8</v>
      </c>
      <c r="I142" t="s">
        <v>62</v>
      </c>
      <c r="J142">
        <v>2</v>
      </c>
      <c r="K142">
        <v>2</v>
      </c>
      <c r="L142" t="s">
        <v>63</v>
      </c>
      <c r="M142">
        <v>2</v>
      </c>
      <c r="N142">
        <v>0.47849999999999998</v>
      </c>
      <c r="O142">
        <v>0.48249999999999998</v>
      </c>
      <c r="P142">
        <v>10000</v>
      </c>
      <c r="Q142">
        <v>6007</v>
      </c>
      <c r="R142">
        <v>3993</v>
      </c>
      <c r="S142">
        <v>1.66</v>
      </c>
      <c r="T142">
        <v>0.66</v>
      </c>
      <c r="W142">
        <v>6000</v>
      </c>
      <c r="X142">
        <v>0</v>
      </c>
      <c r="Y142">
        <v>40</v>
      </c>
      <c r="Z142">
        <v>0.12</v>
      </c>
      <c r="AB142">
        <v>481680000</v>
      </c>
      <c r="AC142">
        <v>289008000</v>
      </c>
      <c r="AD142">
        <v>481680000</v>
      </c>
      <c r="AE142">
        <v>289008000</v>
      </c>
      <c r="AG142">
        <v>99.88</v>
      </c>
      <c r="AH142">
        <v>60</v>
      </c>
      <c r="AI142">
        <v>1</v>
      </c>
      <c r="AJ142">
        <v>1.6647240000000001</v>
      </c>
      <c r="AK142">
        <v>0.28949999999999998</v>
      </c>
      <c r="AL142">
        <v>28.9</v>
      </c>
      <c r="AM142">
        <v>28901</v>
      </c>
      <c r="AN142">
        <v>3.0876999999999999</v>
      </c>
      <c r="AO142">
        <v>30</v>
      </c>
      <c r="AP142">
        <v>21.87</v>
      </c>
      <c r="AQ142">
        <v>0.72</v>
      </c>
      <c r="AR142">
        <v>-6.12</v>
      </c>
      <c r="AS142">
        <v>1.94</v>
      </c>
      <c r="AT142">
        <v>28.16</v>
      </c>
      <c r="AU142">
        <v>6666.69</v>
      </c>
      <c r="AV142">
        <v>35.81</v>
      </c>
      <c r="AW142">
        <v>23.77</v>
      </c>
      <c r="AX142">
        <v>20.2</v>
      </c>
      <c r="AY142">
        <v>6.5420299999999996</v>
      </c>
      <c r="AZ142">
        <v>46.043354999999998</v>
      </c>
      <c r="BA142">
        <v>-23.742884</v>
      </c>
      <c r="BB142">
        <v>-7.3727729999999996</v>
      </c>
      <c r="BC142">
        <v>23.742884</v>
      </c>
      <c r="BD142">
        <v>10.710718999999999</v>
      </c>
      <c r="BE142">
        <v>128.529653</v>
      </c>
      <c r="BF142">
        <v>-19.657599999999999</v>
      </c>
      <c r="BG142">
        <v>1.6468510000000001</v>
      </c>
      <c r="BH142">
        <v>19.657599999999999</v>
      </c>
    </row>
    <row r="143" spans="1:60" x14ac:dyDescent="0.25">
      <c r="A143" t="s">
        <v>334</v>
      </c>
      <c r="B143" t="s">
        <v>335</v>
      </c>
      <c r="C143">
        <v>24</v>
      </c>
      <c r="D143" t="s">
        <v>275</v>
      </c>
      <c r="E143" cm="1">
        <f t="array" ref="E143">_xlfn.SWITCH(D143,"QPSK",0.1,"16QAM",0.25,"64QAM",0.5,"256QAM",0.8,"1024QAM",1,"")</f>
        <v>0.8</v>
      </c>
      <c r="F143" cm="1">
        <f t="array" ref="F143">_xlfn.SWITCH(D143,"QPSK",0.05,"16QAM",0.15,"64QAM",0.4,"256QAM",0.75,"1024QAM",1,"")</f>
        <v>0.75</v>
      </c>
      <c r="G143" t="s">
        <v>61</v>
      </c>
      <c r="H143">
        <v>1</v>
      </c>
      <c r="I143" t="s">
        <v>62</v>
      </c>
      <c r="J143">
        <v>2</v>
      </c>
      <c r="K143">
        <v>2</v>
      </c>
      <c r="L143" t="s">
        <v>63</v>
      </c>
      <c r="M143">
        <v>2</v>
      </c>
      <c r="N143">
        <v>0.47849999999999998</v>
      </c>
      <c r="O143">
        <v>0.48249999999999998</v>
      </c>
      <c r="P143">
        <v>10000</v>
      </c>
      <c r="Q143">
        <v>7191</v>
      </c>
      <c r="R143">
        <v>2809</v>
      </c>
      <c r="S143">
        <v>1.39</v>
      </c>
      <c r="T143">
        <v>0.39</v>
      </c>
      <c r="W143">
        <v>7190</v>
      </c>
      <c r="X143">
        <v>0</v>
      </c>
      <c r="Y143">
        <v>28.1</v>
      </c>
      <c r="Z143">
        <v>0.01</v>
      </c>
      <c r="AB143">
        <v>481680000</v>
      </c>
      <c r="AC143">
        <v>346327920</v>
      </c>
      <c r="AD143">
        <v>481680000</v>
      </c>
      <c r="AE143">
        <v>346327920</v>
      </c>
      <c r="AG143">
        <v>99.99</v>
      </c>
      <c r="AH143">
        <v>71.900000000000006</v>
      </c>
      <c r="AI143">
        <v>1</v>
      </c>
      <c r="AJ143">
        <v>1.3906270000000001</v>
      </c>
      <c r="AK143">
        <v>0.34689999999999999</v>
      </c>
      <c r="AL143">
        <v>34.630000000000003</v>
      </c>
      <c r="AM143">
        <v>34633</v>
      </c>
      <c r="AN143">
        <v>3.7000999999999999</v>
      </c>
      <c r="AO143">
        <v>30</v>
      </c>
      <c r="AP143">
        <v>21.87</v>
      </c>
      <c r="AQ143">
        <v>0.72</v>
      </c>
      <c r="AR143">
        <v>-6.13</v>
      </c>
      <c r="AS143">
        <v>1.94</v>
      </c>
      <c r="AT143">
        <v>31.56</v>
      </c>
      <c r="AU143">
        <v>6666.69</v>
      </c>
      <c r="AV143">
        <v>35.81</v>
      </c>
      <c r="AW143">
        <v>24.44</v>
      </c>
      <c r="AX143">
        <v>20.72</v>
      </c>
      <c r="AY143">
        <v>6.0676399999999999</v>
      </c>
      <c r="AZ143">
        <v>40.640852000000002</v>
      </c>
      <c r="BA143">
        <v>-24.414971000000001</v>
      </c>
      <c r="BB143">
        <v>-8.5258420000000008</v>
      </c>
      <c r="BC143">
        <v>24.414971000000001</v>
      </c>
      <c r="BD143">
        <v>9.8154610000000009</v>
      </c>
      <c r="BE143">
        <v>119.675152</v>
      </c>
      <c r="BF143">
        <v>-20.386832999999999</v>
      </c>
      <c r="BG143">
        <v>0.93720800000000004</v>
      </c>
      <c r="BH143">
        <v>20.386832999999999</v>
      </c>
    </row>
    <row r="144" spans="1:60" x14ac:dyDescent="0.25">
      <c r="A144" t="s">
        <v>336</v>
      </c>
      <c r="B144" t="s">
        <v>337</v>
      </c>
      <c r="C144">
        <v>24</v>
      </c>
      <c r="D144" t="s">
        <v>275</v>
      </c>
      <c r="E144" cm="1">
        <f t="array" ref="E144">_xlfn.SWITCH(D144,"QPSK",0.1,"16QAM",0.25,"64QAM",0.5,"256QAM",0.8,"1024QAM",1,"")</f>
        <v>0.8</v>
      </c>
      <c r="F144" cm="1">
        <f t="array" ref="F144">_xlfn.SWITCH(D144,"QPSK",0.05,"16QAM",0.15,"64QAM",0.4,"256QAM",0.75,"1024QAM",1,"")</f>
        <v>0.75</v>
      </c>
      <c r="G144" t="s">
        <v>61</v>
      </c>
      <c r="H144">
        <v>4</v>
      </c>
      <c r="I144" t="s">
        <v>62</v>
      </c>
      <c r="J144">
        <v>2</v>
      </c>
      <c r="K144">
        <v>2</v>
      </c>
      <c r="L144" t="s">
        <v>63</v>
      </c>
      <c r="M144">
        <v>2</v>
      </c>
      <c r="N144">
        <v>0.47849999999999998</v>
      </c>
      <c r="O144">
        <v>0.48249999999999998</v>
      </c>
      <c r="P144">
        <v>10000</v>
      </c>
      <c r="Q144">
        <v>7155</v>
      </c>
      <c r="R144">
        <v>2845</v>
      </c>
      <c r="S144">
        <v>1.4</v>
      </c>
      <c r="T144">
        <v>0.4</v>
      </c>
      <c r="W144">
        <v>7151</v>
      </c>
      <c r="X144">
        <v>0</v>
      </c>
      <c r="Y144">
        <v>28.49</v>
      </c>
      <c r="Z144">
        <v>0.06</v>
      </c>
      <c r="AB144">
        <v>481680000</v>
      </c>
      <c r="AC144">
        <v>344449368</v>
      </c>
      <c r="AD144">
        <v>481680000</v>
      </c>
      <c r="AE144">
        <v>344449368</v>
      </c>
      <c r="AG144">
        <v>99.94</v>
      </c>
      <c r="AH144">
        <v>71.510000000000005</v>
      </c>
      <c r="AI144">
        <v>1</v>
      </c>
      <c r="AJ144">
        <v>1.397624</v>
      </c>
      <c r="AK144">
        <v>0.34499999999999997</v>
      </c>
      <c r="AL144">
        <v>34.44</v>
      </c>
      <c r="AM144">
        <v>34445</v>
      </c>
      <c r="AN144">
        <v>3.68</v>
      </c>
      <c r="AO144">
        <v>30</v>
      </c>
      <c r="AP144">
        <v>21.87</v>
      </c>
      <c r="AQ144">
        <v>0.72</v>
      </c>
      <c r="AR144">
        <v>-6.13</v>
      </c>
      <c r="AS144">
        <v>1.94</v>
      </c>
      <c r="AT144">
        <v>31.63</v>
      </c>
      <c r="AU144">
        <v>6666.69</v>
      </c>
      <c r="AV144">
        <v>35.81</v>
      </c>
      <c r="AW144">
        <v>24.44</v>
      </c>
      <c r="AX144">
        <v>20.72</v>
      </c>
      <c r="AY144">
        <v>6.0646940000000003</v>
      </c>
      <c r="AZ144">
        <v>40.734332000000002</v>
      </c>
      <c r="BA144">
        <v>-24.418666000000002</v>
      </c>
      <c r="BB144">
        <v>-8.499053</v>
      </c>
      <c r="BC144">
        <v>24.418666000000002</v>
      </c>
      <c r="BD144">
        <v>9.8167240000000007</v>
      </c>
      <c r="BE144">
        <v>119.895078</v>
      </c>
      <c r="BF144">
        <v>-20.386201</v>
      </c>
      <c r="BG144">
        <v>0.9536</v>
      </c>
      <c r="BH144">
        <v>20.386201</v>
      </c>
    </row>
    <row r="145" spans="1:60" x14ac:dyDescent="0.25">
      <c r="A145" t="s">
        <v>338</v>
      </c>
      <c r="B145" t="s">
        <v>339</v>
      </c>
      <c r="C145">
        <v>24</v>
      </c>
      <c r="D145" t="s">
        <v>275</v>
      </c>
      <c r="E145" cm="1">
        <f t="array" ref="E145">_xlfn.SWITCH(D145,"QPSK",0.1,"16QAM",0.25,"64QAM",0.5,"256QAM",0.8,"1024QAM",1,"")</f>
        <v>0.8</v>
      </c>
      <c r="F145" cm="1">
        <f t="array" ref="F145">_xlfn.SWITCH(D145,"QPSK",0.05,"16QAM",0.15,"64QAM",0.4,"256QAM",0.75,"1024QAM",1,"")</f>
        <v>0.75</v>
      </c>
      <c r="G145" t="s">
        <v>61</v>
      </c>
      <c r="H145">
        <v>8</v>
      </c>
      <c r="I145" t="s">
        <v>62</v>
      </c>
      <c r="J145">
        <v>2</v>
      </c>
      <c r="K145">
        <v>2</v>
      </c>
      <c r="L145" t="s">
        <v>63</v>
      </c>
      <c r="M145">
        <v>2</v>
      </c>
      <c r="N145">
        <v>0.47849999999999998</v>
      </c>
      <c r="O145">
        <v>0.48249999999999998</v>
      </c>
      <c r="P145">
        <v>10000</v>
      </c>
      <c r="Q145">
        <v>7048</v>
      </c>
      <c r="R145">
        <v>2952</v>
      </c>
      <c r="S145">
        <v>1.42</v>
      </c>
      <c r="T145">
        <v>0.42</v>
      </c>
      <c r="W145">
        <v>7045</v>
      </c>
      <c r="X145">
        <v>0</v>
      </c>
      <c r="Y145">
        <v>29.55</v>
      </c>
      <c r="Z145">
        <v>0.04</v>
      </c>
      <c r="AB145">
        <v>481680000</v>
      </c>
      <c r="AC145">
        <v>339343560</v>
      </c>
      <c r="AD145">
        <v>481680000</v>
      </c>
      <c r="AE145">
        <v>339343560</v>
      </c>
      <c r="AG145">
        <v>99.96</v>
      </c>
      <c r="AH145">
        <v>70.45</v>
      </c>
      <c r="AI145">
        <v>1</v>
      </c>
      <c r="AJ145">
        <v>1.4188419999999999</v>
      </c>
      <c r="AK145">
        <v>0.33989999999999998</v>
      </c>
      <c r="AL145">
        <v>33.93</v>
      </c>
      <c r="AM145">
        <v>33934</v>
      </c>
      <c r="AN145">
        <v>3.6255000000000002</v>
      </c>
      <c r="AO145">
        <v>30</v>
      </c>
      <c r="AP145">
        <v>21.87</v>
      </c>
      <c r="AQ145">
        <v>0.72</v>
      </c>
      <c r="AR145">
        <v>-6.13</v>
      </c>
      <c r="AS145">
        <v>1.94</v>
      </c>
      <c r="AT145">
        <v>31.26</v>
      </c>
      <c r="AU145">
        <v>6666.69</v>
      </c>
      <c r="AV145">
        <v>35.81</v>
      </c>
      <c r="AW145">
        <v>24.44</v>
      </c>
      <c r="AX145">
        <v>20.73</v>
      </c>
      <c r="AY145">
        <v>6.0665139999999997</v>
      </c>
      <c r="AZ145">
        <v>40.723272000000001</v>
      </c>
      <c r="BA145">
        <v>-24.416315999999998</v>
      </c>
      <c r="BB145">
        <v>-8.5299099999999992</v>
      </c>
      <c r="BC145">
        <v>24.416315999999998</v>
      </c>
      <c r="BD145">
        <v>9.8019090000000002</v>
      </c>
      <c r="BE145">
        <v>119.07993</v>
      </c>
      <c r="BF145">
        <v>-20.398586000000002</v>
      </c>
      <c r="BG145">
        <v>0.89925599999999994</v>
      </c>
      <c r="BH145">
        <v>20.398586000000002</v>
      </c>
    </row>
    <row r="146" spans="1:60" x14ac:dyDescent="0.25">
      <c r="A146" t="s">
        <v>340</v>
      </c>
      <c r="B146" t="s">
        <v>341</v>
      </c>
      <c r="C146">
        <v>4</v>
      </c>
      <c r="D146" t="s">
        <v>275</v>
      </c>
      <c r="E146" cm="1">
        <f t="array" ref="E146">_xlfn.SWITCH(D146,"QPSK",0.1,"16QAM",0.25,"64QAM",0.5,"256QAM",0.8,"1024QAM",1,"")</f>
        <v>0.8</v>
      </c>
      <c r="F146" cm="1">
        <f t="array" ref="F146">_xlfn.SWITCH(D146,"QPSK",0.05,"16QAM",0.15,"64QAM",0.4,"256QAM",0.75,"1024QAM",1,"")</f>
        <v>0.75</v>
      </c>
      <c r="G146" t="s">
        <v>61</v>
      </c>
      <c r="H146">
        <v>1</v>
      </c>
      <c r="I146" t="s">
        <v>62</v>
      </c>
      <c r="J146">
        <v>2</v>
      </c>
      <c r="K146">
        <v>2</v>
      </c>
      <c r="L146" t="s">
        <v>63</v>
      </c>
      <c r="M146">
        <v>2</v>
      </c>
      <c r="N146">
        <v>0.47849999999999998</v>
      </c>
      <c r="O146">
        <v>0.48249999999999998</v>
      </c>
      <c r="P146">
        <v>10000</v>
      </c>
      <c r="Q146">
        <v>2504</v>
      </c>
      <c r="R146">
        <v>7496</v>
      </c>
      <c r="S146">
        <v>3.99</v>
      </c>
      <c r="T146">
        <v>2.99</v>
      </c>
      <c r="W146">
        <v>150</v>
      </c>
      <c r="X146">
        <v>0</v>
      </c>
      <c r="Y146">
        <v>98.5</v>
      </c>
      <c r="Z146">
        <v>94.01</v>
      </c>
      <c r="AB146">
        <v>481680000</v>
      </c>
      <c r="AC146">
        <v>7225200</v>
      </c>
      <c r="AD146">
        <v>481680000</v>
      </c>
      <c r="AE146">
        <v>7225200</v>
      </c>
      <c r="AG146">
        <v>5.99</v>
      </c>
      <c r="AH146">
        <v>1.5</v>
      </c>
      <c r="AI146">
        <v>1</v>
      </c>
      <c r="AJ146">
        <v>3.9936099999999999</v>
      </c>
      <c r="AK146">
        <v>7.1999999999999998E-3</v>
      </c>
      <c r="AL146">
        <v>0.72</v>
      </c>
      <c r="AM146">
        <v>723</v>
      </c>
      <c r="AN146">
        <v>7.7200000000000005E-2</v>
      </c>
      <c r="AO146">
        <v>30</v>
      </c>
      <c r="AP146">
        <v>21.87</v>
      </c>
      <c r="AQ146">
        <v>0.72</v>
      </c>
      <c r="AR146">
        <v>-6.03</v>
      </c>
      <c r="AS146">
        <v>1.9</v>
      </c>
      <c r="AT146">
        <v>15.24</v>
      </c>
      <c r="AU146">
        <v>6666.69</v>
      </c>
      <c r="AV146">
        <v>35.81</v>
      </c>
      <c r="AW146">
        <v>20.309999999999999</v>
      </c>
      <c r="AX146">
        <v>18.3</v>
      </c>
      <c r="AY146">
        <v>13.303806</v>
      </c>
      <c r="AZ146">
        <v>109.80794299999999</v>
      </c>
      <c r="BA146">
        <v>-17.619775000000001</v>
      </c>
      <c r="BB146">
        <v>0.62972899999999998</v>
      </c>
      <c r="BC146">
        <v>17.619775000000001</v>
      </c>
      <c r="BD146">
        <v>22.527007999999999</v>
      </c>
      <c r="BE146">
        <v>207.515109</v>
      </c>
      <c r="BF146">
        <v>-13.123556000000001</v>
      </c>
      <c r="BG146">
        <v>6.0048959999999996</v>
      </c>
      <c r="BH146">
        <v>13.123556000000001</v>
      </c>
    </row>
    <row r="147" spans="1:60" x14ac:dyDescent="0.25">
      <c r="A147" t="s">
        <v>342</v>
      </c>
      <c r="B147" t="s">
        <v>343</v>
      </c>
      <c r="C147">
        <v>4</v>
      </c>
      <c r="D147" t="s">
        <v>275</v>
      </c>
      <c r="E147" cm="1">
        <f t="array" ref="E147">_xlfn.SWITCH(D147,"QPSK",0.1,"16QAM",0.25,"64QAM",0.5,"256QAM",0.8,"1024QAM",1,"")</f>
        <v>0.8</v>
      </c>
      <c r="F147" cm="1">
        <f t="array" ref="F147">_xlfn.SWITCH(D147,"QPSK",0.05,"16QAM",0.15,"64QAM",0.4,"256QAM",0.75,"1024QAM",1,"")</f>
        <v>0.75</v>
      </c>
      <c r="G147" t="s">
        <v>61</v>
      </c>
      <c r="H147">
        <v>4</v>
      </c>
      <c r="I147" t="s">
        <v>62</v>
      </c>
      <c r="J147">
        <v>2</v>
      </c>
      <c r="K147">
        <v>2</v>
      </c>
      <c r="L147" t="s">
        <v>63</v>
      </c>
      <c r="M147">
        <v>2</v>
      </c>
      <c r="N147">
        <v>0.47849999999999998</v>
      </c>
      <c r="O147">
        <v>0.48249999999999998</v>
      </c>
      <c r="P147">
        <v>10000</v>
      </c>
      <c r="Q147">
        <v>2505</v>
      </c>
      <c r="R147">
        <v>7495</v>
      </c>
      <c r="S147">
        <v>3.99</v>
      </c>
      <c r="T147">
        <v>2.99</v>
      </c>
      <c r="W147">
        <v>149</v>
      </c>
      <c r="X147">
        <v>0</v>
      </c>
      <c r="Y147">
        <v>98.51</v>
      </c>
      <c r="Z147">
        <v>94.05</v>
      </c>
      <c r="AB147">
        <v>481680000</v>
      </c>
      <c r="AC147">
        <v>7177032</v>
      </c>
      <c r="AD147">
        <v>481680000</v>
      </c>
      <c r="AE147">
        <v>7177032</v>
      </c>
      <c r="AG147">
        <v>5.95</v>
      </c>
      <c r="AH147">
        <v>1.49</v>
      </c>
      <c r="AI147">
        <v>1</v>
      </c>
      <c r="AJ147">
        <v>3.992016</v>
      </c>
      <c r="AK147">
        <v>7.1999999999999998E-3</v>
      </c>
      <c r="AL147">
        <v>0.72</v>
      </c>
      <c r="AM147">
        <v>718</v>
      </c>
      <c r="AN147">
        <v>7.6700000000000004E-2</v>
      </c>
      <c r="AO147">
        <v>30</v>
      </c>
      <c r="AP147">
        <v>21.87</v>
      </c>
      <c r="AQ147">
        <v>0.72</v>
      </c>
      <c r="AR147">
        <v>-6.03</v>
      </c>
      <c r="AS147">
        <v>1.9</v>
      </c>
      <c r="AT147">
        <v>15.39</v>
      </c>
      <c r="AU147">
        <v>6666.69</v>
      </c>
      <c r="AV147">
        <v>35.81</v>
      </c>
      <c r="AW147">
        <v>20.309999999999999</v>
      </c>
      <c r="AX147">
        <v>18.3</v>
      </c>
      <c r="AY147">
        <v>13.301251000000001</v>
      </c>
      <c r="AZ147">
        <v>109.917008</v>
      </c>
      <c r="BA147">
        <v>-17.620899000000001</v>
      </c>
      <c r="BB147">
        <v>0.63543300000000003</v>
      </c>
      <c r="BC147">
        <v>17.620899000000001</v>
      </c>
      <c r="BD147">
        <v>22.519608999999999</v>
      </c>
      <c r="BE147">
        <v>207.12271100000001</v>
      </c>
      <c r="BF147">
        <v>-13.126649</v>
      </c>
      <c r="BG147">
        <v>5.9953279999999998</v>
      </c>
      <c r="BH147">
        <v>13.126649</v>
      </c>
    </row>
    <row r="148" spans="1:60" x14ac:dyDescent="0.25">
      <c r="A148" t="s">
        <v>344</v>
      </c>
      <c r="B148" t="s">
        <v>345</v>
      </c>
      <c r="C148">
        <v>4</v>
      </c>
      <c r="D148" t="s">
        <v>275</v>
      </c>
      <c r="E148" cm="1">
        <f t="array" ref="E148">_xlfn.SWITCH(D148,"QPSK",0.1,"16QAM",0.25,"64QAM",0.5,"256QAM",0.8,"1024QAM",1,"")</f>
        <v>0.8</v>
      </c>
      <c r="F148" cm="1">
        <f t="array" ref="F148">_xlfn.SWITCH(D148,"QPSK",0.05,"16QAM",0.15,"64QAM",0.4,"256QAM",0.75,"1024QAM",1,"")</f>
        <v>0.75</v>
      </c>
      <c r="G148" t="s">
        <v>61</v>
      </c>
      <c r="H148">
        <v>8</v>
      </c>
      <c r="I148" t="s">
        <v>62</v>
      </c>
      <c r="J148">
        <v>2</v>
      </c>
      <c r="K148">
        <v>2</v>
      </c>
      <c r="L148" t="s">
        <v>63</v>
      </c>
      <c r="M148">
        <v>2</v>
      </c>
      <c r="N148">
        <v>0.47849999999999998</v>
      </c>
      <c r="O148">
        <v>0.48249999999999998</v>
      </c>
      <c r="P148">
        <v>10000</v>
      </c>
      <c r="Q148">
        <v>2504</v>
      </c>
      <c r="R148">
        <v>7496</v>
      </c>
      <c r="S148">
        <v>3.99</v>
      </c>
      <c r="T148">
        <v>2.99</v>
      </c>
      <c r="W148">
        <v>130</v>
      </c>
      <c r="X148">
        <v>0</v>
      </c>
      <c r="Y148">
        <v>98.7</v>
      </c>
      <c r="Z148">
        <v>94.81</v>
      </c>
      <c r="AB148">
        <v>481680000</v>
      </c>
      <c r="AC148">
        <v>6261840</v>
      </c>
      <c r="AD148">
        <v>481680000</v>
      </c>
      <c r="AE148">
        <v>6261840</v>
      </c>
      <c r="AG148">
        <v>5.19</v>
      </c>
      <c r="AH148">
        <v>1.3</v>
      </c>
      <c r="AI148">
        <v>1</v>
      </c>
      <c r="AJ148">
        <v>3.9936099999999999</v>
      </c>
      <c r="AK148">
        <v>6.3E-3</v>
      </c>
      <c r="AL148">
        <v>0.63</v>
      </c>
      <c r="AM148">
        <v>626</v>
      </c>
      <c r="AN148">
        <v>6.6900000000000001E-2</v>
      </c>
      <c r="AO148">
        <v>30</v>
      </c>
      <c r="AP148">
        <v>21.87</v>
      </c>
      <c r="AQ148">
        <v>0.72</v>
      </c>
      <c r="AR148">
        <v>-6.03</v>
      </c>
      <c r="AS148">
        <v>1.9</v>
      </c>
      <c r="AT148">
        <v>15.43</v>
      </c>
      <c r="AU148">
        <v>6666.69</v>
      </c>
      <c r="AV148">
        <v>35.81</v>
      </c>
      <c r="AW148">
        <v>20.309999999999999</v>
      </c>
      <c r="AX148">
        <v>18.3</v>
      </c>
      <c r="AY148">
        <v>13.300732</v>
      </c>
      <c r="AZ148">
        <v>110.06496300000001</v>
      </c>
      <c r="BA148">
        <v>-17.621562000000001</v>
      </c>
      <c r="BB148">
        <v>0.64760200000000001</v>
      </c>
      <c r="BC148">
        <v>17.621562000000001</v>
      </c>
      <c r="BD148">
        <v>22.526247999999999</v>
      </c>
      <c r="BE148">
        <v>207.410865</v>
      </c>
      <c r="BF148">
        <v>-13.123873</v>
      </c>
      <c r="BG148">
        <v>6.0034549999999998</v>
      </c>
      <c r="BH148">
        <v>13.123873</v>
      </c>
    </row>
    <row r="149" spans="1:60" x14ac:dyDescent="0.25">
      <c r="A149" t="s">
        <v>346</v>
      </c>
      <c r="B149" t="s">
        <v>347</v>
      </c>
      <c r="C149">
        <v>6</v>
      </c>
      <c r="D149" t="s">
        <v>275</v>
      </c>
      <c r="E149" cm="1">
        <f t="array" ref="E149">_xlfn.SWITCH(D149,"QPSK",0.1,"16QAM",0.25,"64QAM",0.5,"256QAM",0.8,"1024QAM",1,"")</f>
        <v>0.8</v>
      </c>
      <c r="F149" cm="1">
        <f t="array" ref="F149">_xlfn.SWITCH(D149,"QPSK",0.05,"16QAM",0.15,"64QAM",0.4,"256QAM",0.75,"1024QAM",1,"")</f>
        <v>0.75</v>
      </c>
      <c r="G149" t="s">
        <v>61</v>
      </c>
      <c r="H149">
        <v>1</v>
      </c>
      <c r="I149" t="s">
        <v>62</v>
      </c>
      <c r="J149">
        <v>2</v>
      </c>
      <c r="K149">
        <v>2</v>
      </c>
      <c r="L149" t="s">
        <v>63</v>
      </c>
      <c r="M149">
        <v>2</v>
      </c>
      <c r="N149">
        <v>0.47849999999999998</v>
      </c>
      <c r="O149">
        <v>0.48249999999999998</v>
      </c>
      <c r="P149">
        <v>10000</v>
      </c>
      <c r="Q149">
        <v>2535</v>
      </c>
      <c r="R149">
        <v>7465</v>
      </c>
      <c r="S149">
        <v>3.94</v>
      </c>
      <c r="T149">
        <v>2.94</v>
      </c>
      <c r="W149">
        <v>662</v>
      </c>
      <c r="X149">
        <v>0</v>
      </c>
      <c r="Y149">
        <v>93.38</v>
      </c>
      <c r="Z149">
        <v>73.89</v>
      </c>
      <c r="AB149">
        <v>481680000</v>
      </c>
      <c r="AC149">
        <v>31887216</v>
      </c>
      <c r="AD149">
        <v>481680000</v>
      </c>
      <c r="AE149">
        <v>31887216</v>
      </c>
      <c r="AG149">
        <v>26.11</v>
      </c>
      <c r="AH149">
        <v>6.62</v>
      </c>
      <c r="AI149">
        <v>1</v>
      </c>
      <c r="AJ149">
        <v>3.9447730000000001</v>
      </c>
      <c r="AK149">
        <v>3.1899999999999998E-2</v>
      </c>
      <c r="AL149">
        <v>3.19</v>
      </c>
      <c r="AM149">
        <v>3189</v>
      </c>
      <c r="AN149">
        <v>0.3407</v>
      </c>
      <c r="AO149">
        <v>30</v>
      </c>
      <c r="AP149">
        <v>21.87</v>
      </c>
      <c r="AQ149">
        <v>0.72</v>
      </c>
      <c r="AR149">
        <v>-6.07</v>
      </c>
      <c r="AS149">
        <v>1.93</v>
      </c>
      <c r="AT149">
        <v>18.579999999999998</v>
      </c>
      <c r="AU149">
        <v>6666.69</v>
      </c>
      <c r="AV149">
        <v>35.81</v>
      </c>
      <c r="AW149">
        <v>20.61</v>
      </c>
      <c r="AX149">
        <v>18.84</v>
      </c>
      <c r="AY149">
        <v>11.758342000000001</v>
      </c>
      <c r="AZ149">
        <v>95.361430999999996</v>
      </c>
      <c r="BA149">
        <v>-18.695937000000001</v>
      </c>
      <c r="BB149">
        <v>-0.630274</v>
      </c>
      <c r="BC149">
        <v>18.695937000000001</v>
      </c>
      <c r="BD149">
        <v>20.996361</v>
      </c>
      <c r="BE149">
        <v>188.52246199999999</v>
      </c>
      <c r="BF149">
        <v>-13.77608</v>
      </c>
      <c r="BG149">
        <v>5.1539029999999997</v>
      </c>
      <c r="BH149">
        <v>13.77608</v>
      </c>
    </row>
    <row r="150" spans="1:60" x14ac:dyDescent="0.25">
      <c r="A150" t="s">
        <v>348</v>
      </c>
      <c r="B150" t="s">
        <v>349</v>
      </c>
      <c r="C150">
        <v>6</v>
      </c>
      <c r="D150" t="s">
        <v>275</v>
      </c>
      <c r="E150" cm="1">
        <f t="array" ref="E150">_xlfn.SWITCH(D150,"QPSK",0.1,"16QAM",0.25,"64QAM",0.5,"256QAM",0.8,"1024QAM",1,"")</f>
        <v>0.8</v>
      </c>
      <c r="F150" cm="1">
        <f t="array" ref="F150">_xlfn.SWITCH(D150,"QPSK",0.05,"16QAM",0.15,"64QAM",0.4,"256QAM",0.75,"1024QAM",1,"")</f>
        <v>0.75</v>
      </c>
      <c r="G150" t="s">
        <v>61</v>
      </c>
      <c r="H150">
        <v>4</v>
      </c>
      <c r="I150" t="s">
        <v>62</v>
      </c>
      <c r="J150">
        <v>2</v>
      </c>
      <c r="K150">
        <v>2</v>
      </c>
      <c r="L150" t="s">
        <v>63</v>
      </c>
      <c r="M150">
        <v>2</v>
      </c>
      <c r="N150">
        <v>0.47849999999999998</v>
      </c>
      <c r="O150">
        <v>0.48249999999999998</v>
      </c>
      <c r="P150">
        <v>10000</v>
      </c>
      <c r="Q150">
        <v>2531</v>
      </c>
      <c r="R150">
        <v>7469</v>
      </c>
      <c r="S150">
        <v>3.95</v>
      </c>
      <c r="T150">
        <v>2.95</v>
      </c>
      <c r="W150">
        <v>662</v>
      </c>
      <c r="X150">
        <v>0</v>
      </c>
      <c r="Y150">
        <v>93.38</v>
      </c>
      <c r="Z150">
        <v>73.84</v>
      </c>
      <c r="AB150">
        <v>481680000</v>
      </c>
      <c r="AC150">
        <v>31887216</v>
      </c>
      <c r="AD150">
        <v>481680000</v>
      </c>
      <c r="AE150">
        <v>31887216</v>
      </c>
      <c r="AG150">
        <v>26.16</v>
      </c>
      <c r="AH150">
        <v>6.62</v>
      </c>
      <c r="AI150">
        <v>1</v>
      </c>
      <c r="AJ150">
        <v>3.9510079999999999</v>
      </c>
      <c r="AK150">
        <v>3.1899999999999998E-2</v>
      </c>
      <c r="AL150">
        <v>3.19</v>
      </c>
      <c r="AM150">
        <v>3189</v>
      </c>
      <c r="AN150">
        <v>0.3407</v>
      </c>
      <c r="AO150">
        <v>30</v>
      </c>
      <c r="AP150">
        <v>21.87</v>
      </c>
      <c r="AQ150">
        <v>0.72</v>
      </c>
      <c r="AR150">
        <v>-6.07</v>
      </c>
      <c r="AS150">
        <v>1.93</v>
      </c>
      <c r="AT150">
        <v>18.350000000000001</v>
      </c>
      <c r="AU150">
        <v>6666.69</v>
      </c>
      <c r="AV150">
        <v>35.81</v>
      </c>
      <c r="AW150">
        <v>20.61</v>
      </c>
      <c r="AX150">
        <v>18.84</v>
      </c>
      <c r="AY150">
        <v>11.756333</v>
      </c>
      <c r="AZ150">
        <v>95.442425</v>
      </c>
      <c r="BA150">
        <v>-18.697202999999998</v>
      </c>
      <c r="BB150">
        <v>-0.61908600000000003</v>
      </c>
      <c r="BC150">
        <v>18.697202999999998</v>
      </c>
      <c r="BD150">
        <v>20.991472000000002</v>
      </c>
      <c r="BE150">
        <v>188.56939499999999</v>
      </c>
      <c r="BF150">
        <v>-13.7783</v>
      </c>
      <c r="BG150">
        <v>5.153899</v>
      </c>
      <c r="BH150">
        <v>13.7783</v>
      </c>
    </row>
    <row r="151" spans="1:60" x14ac:dyDescent="0.25">
      <c r="A151" t="s">
        <v>350</v>
      </c>
      <c r="B151" t="s">
        <v>351</v>
      </c>
      <c r="C151">
        <v>6</v>
      </c>
      <c r="D151" t="s">
        <v>275</v>
      </c>
      <c r="E151" cm="1">
        <f t="array" ref="E151">_xlfn.SWITCH(D151,"QPSK",0.1,"16QAM",0.25,"64QAM",0.5,"256QAM",0.8,"1024QAM",1,"")</f>
        <v>0.8</v>
      </c>
      <c r="F151" cm="1">
        <f t="array" ref="F151">_xlfn.SWITCH(D151,"QPSK",0.05,"16QAM",0.15,"64QAM",0.4,"256QAM",0.75,"1024QAM",1,"")</f>
        <v>0.75</v>
      </c>
      <c r="G151" t="s">
        <v>61</v>
      </c>
      <c r="H151">
        <v>8</v>
      </c>
      <c r="I151" t="s">
        <v>62</v>
      </c>
      <c r="J151">
        <v>2</v>
      </c>
      <c r="K151">
        <v>2</v>
      </c>
      <c r="L151" t="s">
        <v>63</v>
      </c>
      <c r="M151">
        <v>2</v>
      </c>
      <c r="N151">
        <v>0.47849999999999998</v>
      </c>
      <c r="O151">
        <v>0.48249999999999998</v>
      </c>
      <c r="P151">
        <v>10000</v>
      </c>
      <c r="Q151">
        <v>2529</v>
      </c>
      <c r="R151">
        <v>7471</v>
      </c>
      <c r="S151">
        <v>3.95</v>
      </c>
      <c r="T151">
        <v>2.95</v>
      </c>
      <c r="W151">
        <v>639</v>
      </c>
      <c r="X151">
        <v>0</v>
      </c>
      <c r="Y151">
        <v>93.61</v>
      </c>
      <c r="Z151">
        <v>74.73</v>
      </c>
      <c r="AB151">
        <v>481680000</v>
      </c>
      <c r="AC151">
        <v>30779352</v>
      </c>
      <c r="AD151">
        <v>481680000</v>
      </c>
      <c r="AE151">
        <v>30779352</v>
      </c>
      <c r="AG151">
        <v>25.27</v>
      </c>
      <c r="AH151">
        <v>6.39</v>
      </c>
      <c r="AI151">
        <v>1</v>
      </c>
      <c r="AJ151">
        <v>3.954132</v>
      </c>
      <c r="AK151">
        <v>3.0800000000000001E-2</v>
      </c>
      <c r="AL151">
        <v>3.08</v>
      </c>
      <c r="AM151">
        <v>3078</v>
      </c>
      <c r="AN151">
        <v>0.32879999999999998</v>
      </c>
      <c r="AO151">
        <v>30</v>
      </c>
      <c r="AP151">
        <v>21.87</v>
      </c>
      <c r="AQ151">
        <v>0.72</v>
      </c>
      <c r="AR151">
        <v>-6.07</v>
      </c>
      <c r="AS151">
        <v>1.92</v>
      </c>
      <c r="AT151">
        <v>18.57</v>
      </c>
      <c r="AU151">
        <v>6666.69</v>
      </c>
      <c r="AV151">
        <v>35.81</v>
      </c>
      <c r="AW151">
        <v>20.61</v>
      </c>
      <c r="AX151">
        <v>18.84</v>
      </c>
      <c r="AY151">
        <v>11.760869</v>
      </c>
      <c r="AZ151">
        <v>95.480649</v>
      </c>
      <c r="BA151">
        <v>-18.694151000000002</v>
      </c>
      <c r="BB151">
        <v>-0.62195</v>
      </c>
      <c r="BC151">
        <v>18.694151000000002</v>
      </c>
      <c r="BD151">
        <v>20.987192</v>
      </c>
      <c r="BE151">
        <v>188.55311699999999</v>
      </c>
      <c r="BF151">
        <v>-13.780396</v>
      </c>
      <c r="BG151">
        <v>5.1545719999999999</v>
      </c>
      <c r="BH151">
        <v>13.780396</v>
      </c>
    </row>
    <row r="152" spans="1:60" x14ac:dyDescent="0.25">
      <c r="A152" t="s">
        <v>352</v>
      </c>
      <c r="B152" t="s">
        <v>353</v>
      </c>
      <c r="C152">
        <v>8</v>
      </c>
      <c r="D152" t="s">
        <v>275</v>
      </c>
      <c r="E152" cm="1">
        <f t="array" ref="E152">_xlfn.SWITCH(D152,"QPSK",0.1,"16QAM",0.25,"64QAM",0.5,"256QAM",0.8,"1024QAM",1,"")</f>
        <v>0.8</v>
      </c>
      <c r="F152" cm="1">
        <f t="array" ref="F152">_xlfn.SWITCH(D152,"QPSK",0.05,"16QAM",0.15,"64QAM",0.4,"256QAM",0.75,"1024QAM",1,"")</f>
        <v>0.75</v>
      </c>
      <c r="G152" t="s">
        <v>61</v>
      </c>
      <c r="H152">
        <v>1</v>
      </c>
      <c r="I152" t="s">
        <v>62</v>
      </c>
      <c r="J152">
        <v>2</v>
      </c>
      <c r="K152">
        <v>2</v>
      </c>
      <c r="L152" t="s">
        <v>63</v>
      </c>
      <c r="M152">
        <v>2</v>
      </c>
      <c r="N152">
        <v>0.47849999999999998</v>
      </c>
      <c r="O152">
        <v>0.48249999999999998</v>
      </c>
      <c r="P152">
        <v>10000</v>
      </c>
      <c r="Q152">
        <v>2640</v>
      </c>
      <c r="R152">
        <v>7360</v>
      </c>
      <c r="S152">
        <v>3.79</v>
      </c>
      <c r="T152">
        <v>2.79</v>
      </c>
      <c r="W152">
        <v>1398</v>
      </c>
      <c r="X152">
        <v>0</v>
      </c>
      <c r="Y152">
        <v>86.02</v>
      </c>
      <c r="Z152">
        <v>47.05</v>
      </c>
      <c r="AB152">
        <v>481680000</v>
      </c>
      <c r="AC152">
        <v>67338864</v>
      </c>
      <c r="AD152">
        <v>481680000</v>
      </c>
      <c r="AE152">
        <v>67338864</v>
      </c>
      <c r="AG152">
        <v>52.95</v>
      </c>
      <c r="AH152">
        <v>13.98</v>
      </c>
      <c r="AI152">
        <v>1</v>
      </c>
      <c r="AJ152">
        <v>3.7878790000000002</v>
      </c>
      <c r="AK152">
        <v>6.7400000000000002E-2</v>
      </c>
      <c r="AL152">
        <v>6.73</v>
      </c>
      <c r="AM152">
        <v>6734</v>
      </c>
      <c r="AN152">
        <v>0.71940000000000004</v>
      </c>
      <c r="AO152">
        <v>30</v>
      </c>
      <c r="AP152">
        <v>21.87</v>
      </c>
      <c r="AQ152">
        <v>0.72</v>
      </c>
      <c r="AR152">
        <v>-6.07</v>
      </c>
      <c r="AS152">
        <v>1.95</v>
      </c>
      <c r="AT152">
        <v>20.74</v>
      </c>
      <c r="AU152">
        <v>6666.69</v>
      </c>
      <c r="AV152">
        <v>35.81</v>
      </c>
      <c r="AW152">
        <v>20.9</v>
      </c>
      <c r="AX152">
        <v>19.09</v>
      </c>
      <c r="AY152">
        <v>10.581899999999999</v>
      </c>
      <c r="AZ152">
        <v>86.562528</v>
      </c>
      <c r="BA152">
        <v>-19.607426</v>
      </c>
      <c r="BB152">
        <v>-1.57023</v>
      </c>
      <c r="BC152">
        <v>19.607426</v>
      </c>
      <c r="BD152">
        <v>19.483578999999999</v>
      </c>
      <c r="BE152">
        <v>174.09075999999999</v>
      </c>
      <c r="BF152">
        <v>-14.438497999999999</v>
      </c>
      <c r="BG152">
        <v>4.4889340000000004</v>
      </c>
      <c r="BH152">
        <v>14.438497999999999</v>
      </c>
    </row>
    <row r="153" spans="1:60" x14ac:dyDescent="0.25">
      <c r="A153" t="s">
        <v>354</v>
      </c>
      <c r="B153" t="s">
        <v>355</v>
      </c>
      <c r="C153">
        <v>8</v>
      </c>
      <c r="D153" t="s">
        <v>275</v>
      </c>
      <c r="E153" cm="1">
        <f t="array" ref="E153">_xlfn.SWITCH(D153,"QPSK",0.1,"16QAM",0.25,"64QAM",0.5,"256QAM",0.8,"1024QAM",1,"")</f>
        <v>0.8</v>
      </c>
      <c r="F153" cm="1">
        <f t="array" ref="F153">_xlfn.SWITCH(D153,"QPSK",0.05,"16QAM",0.15,"64QAM",0.4,"256QAM",0.75,"1024QAM",1,"")</f>
        <v>0.75</v>
      </c>
      <c r="G153" t="s">
        <v>61</v>
      </c>
      <c r="H153">
        <v>4</v>
      </c>
      <c r="I153" t="s">
        <v>62</v>
      </c>
      <c r="J153">
        <v>2</v>
      </c>
      <c r="K153">
        <v>2</v>
      </c>
      <c r="L153" t="s">
        <v>63</v>
      </c>
      <c r="M153">
        <v>2</v>
      </c>
      <c r="N153">
        <v>0.47849999999999998</v>
      </c>
      <c r="O153">
        <v>0.48249999999999998</v>
      </c>
      <c r="P153">
        <v>10000</v>
      </c>
      <c r="Q153">
        <v>2631</v>
      </c>
      <c r="R153">
        <v>7369</v>
      </c>
      <c r="S153">
        <v>3.8</v>
      </c>
      <c r="T153">
        <v>2.8</v>
      </c>
      <c r="W153">
        <v>1417</v>
      </c>
      <c r="X153">
        <v>0</v>
      </c>
      <c r="Y153">
        <v>85.83</v>
      </c>
      <c r="Z153">
        <v>46.14</v>
      </c>
      <c r="AB153">
        <v>481680000</v>
      </c>
      <c r="AC153">
        <v>68254056</v>
      </c>
      <c r="AD153">
        <v>481680000</v>
      </c>
      <c r="AE153">
        <v>68254056</v>
      </c>
      <c r="AG153">
        <v>53.86</v>
      </c>
      <c r="AH153">
        <v>14.17</v>
      </c>
      <c r="AI153">
        <v>1</v>
      </c>
      <c r="AJ153">
        <v>3.8008359999999999</v>
      </c>
      <c r="AK153">
        <v>6.8400000000000002E-2</v>
      </c>
      <c r="AL153">
        <v>6.83</v>
      </c>
      <c r="AM153">
        <v>6825</v>
      </c>
      <c r="AN153">
        <v>0.72919999999999996</v>
      </c>
      <c r="AO153">
        <v>30</v>
      </c>
      <c r="AP153">
        <v>21.87</v>
      </c>
      <c r="AQ153">
        <v>0.72</v>
      </c>
      <c r="AR153">
        <v>-6.07</v>
      </c>
      <c r="AS153">
        <v>1.95</v>
      </c>
      <c r="AT153">
        <v>20.88</v>
      </c>
      <c r="AU153">
        <v>6666.69</v>
      </c>
      <c r="AV153">
        <v>35.81</v>
      </c>
      <c r="AW153">
        <v>20.91</v>
      </c>
      <c r="AX153">
        <v>19.100000000000001</v>
      </c>
      <c r="AY153">
        <v>10.577963</v>
      </c>
      <c r="AZ153">
        <v>86.624177000000003</v>
      </c>
      <c r="BA153">
        <v>-19.610565999999999</v>
      </c>
      <c r="BB153">
        <v>-1.5728610000000001</v>
      </c>
      <c r="BC153">
        <v>19.610565999999999</v>
      </c>
      <c r="BD153">
        <v>19.478750999999999</v>
      </c>
      <c r="BE153">
        <v>173.82316599999999</v>
      </c>
      <c r="BF153">
        <v>-14.442659000000001</v>
      </c>
      <c r="BG153">
        <v>4.4737580000000001</v>
      </c>
      <c r="BH153">
        <v>14.442659000000001</v>
      </c>
    </row>
    <row r="154" spans="1:60" x14ac:dyDescent="0.25">
      <c r="A154" t="s">
        <v>356</v>
      </c>
      <c r="B154" t="s">
        <v>357</v>
      </c>
      <c r="C154">
        <v>8</v>
      </c>
      <c r="D154" t="s">
        <v>275</v>
      </c>
      <c r="E154" cm="1">
        <f t="array" ref="E154">_xlfn.SWITCH(D154,"QPSK",0.1,"16QAM",0.25,"64QAM",0.5,"256QAM",0.8,"1024QAM",1,"")</f>
        <v>0.8</v>
      </c>
      <c r="F154" cm="1">
        <f t="array" ref="F154">_xlfn.SWITCH(D154,"QPSK",0.05,"16QAM",0.15,"64QAM",0.4,"256QAM",0.75,"1024QAM",1,"")</f>
        <v>0.75</v>
      </c>
      <c r="G154" t="s">
        <v>61</v>
      </c>
      <c r="H154">
        <v>8</v>
      </c>
      <c r="I154" t="s">
        <v>62</v>
      </c>
      <c r="J154">
        <v>2</v>
      </c>
      <c r="K154">
        <v>2</v>
      </c>
      <c r="L154" t="s">
        <v>63</v>
      </c>
      <c r="M154">
        <v>2</v>
      </c>
      <c r="N154">
        <v>0.47849999999999998</v>
      </c>
      <c r="O154">
        <v>0.48249999999999998</v>
      </c>
      <c r="P154">
        <v>10000</v>
      </c>
      <c r="Q154">
        <v>2615</v>
      </c>
      <c r="R154">
        <v>7385</v>
      </c>
      <c r="S154">
        <v>3.82</v>
      </c>
      <c r="T154">
        <v>2.82</v>
      </c>
      <c r="W154">
        <v>1416</v>
      </c>
      <c r="X154">
        <v>0</v>
      </c>
      <c r="Y154">
        <v>85.84</v>
      </c>
      <c r="Z154">
        <v>45.85</v>
      </c>
      <c r="AB154">
        <v>481680000</v>
      </c>
      <c r="AC154">
        <v>68205888</v>
      </c>
      <c r="AD154">
        <v>481680000</v>
      </c>
      <c r="AE154">
        <v>68205888</v>
      </c>
      <c r="AG154">
        <v>54.15</v>
      </c>
      <c r="AH154">
        <v>14.16</v>
      </c>
      <c r="AI154">
        <v>1</v>
      </c>
      <c r="AJ154">
        <v>3.8240919999999998</v>
      </c>
      <c r="AK154">
        <v>6.83E-2</v>
      </c>
      <c r="AL154">
        <v>6.82</v>
      </c>
      <c r="AM154">
        <v>6821</v>
      </c>
      <c r="AN154">
        <v>0.72870000000000001</v>
      </c>
      <c r="AO154">
        <v>30</v>
      </c>
      <c r="AP154">
        <v>21.87</v>
      </c>
      <c r="AQ154">
        <v>0.72</v>
      </c>
      <c r="AR154">
        <v>-6.07</v>
      </c>
      <c r="AS154">
        <v>1.95</v>
      </c>
      <c r="AT154">
        <v>20.77</v>
      </c>
      <c r="AU154">
        <v>6666.69</v>
      </c>
      <c r="AV154">
        <v>35.81</v>
      </c>
      <c r="AW154">
        <v>20.91</v>
      </c>
      <c r="AX154">
        <v>19.100000000000001</v>
      </c>
      <c r="AY154">
        <v>10.577584</v>
      </c>
      <c r="AZ154">
        <v>86.432946000000001</v>
      </c>
      <c r="BA154">
        <v>-19.610430000000001</v>
      </c>
      <c r="BB154">
        <v>-1.5896060000000001</v>
      </c>
      <c r="BC154">
        <v>19.610430000000001</v>
      </c>
      <c r="BD154">
        <v>19.486272</v>
      </c>
      <c r="BE154">
        <v>173.651242</v>
      </c>
      <c r="BF154">
        <v>-14.439311</v>
      </c>
      <c r="BG154">
        <v>4.4698919999999998</v>
      </c>
      <c r="BH154">
        <v>14.439311</v>
      </c>
    </row>
    <row r="155" spans="1:60" x14ac:dyDescent="0.25">
      <c r="A155" t="s">
        <v>358</v>
      </c>
      <c r="B155" t="s">
        <v>359</v>
      </c>
      <c r="C155">
        <v>0</v>
      </c>
      <c r="D155" t="s">
        <v>360</v>
      </c>
      <c r="E155" cm="1">
        <f t="array" ref="E155">_xlfn.SWITCH(D155,"QPSK",0.1,"16QAM",0.25,"64QAM",0.5,"256QAM",0.8,"1024QAM",1,"")</f>
        <v>0.5</v>
      </c>
      <c r="F155" cm="1">
        <f t="array" ref="F155">_xlfn.SWITCH(D155,"QPSK",0.05,"16QAM",0.15,"64QAM",0.4,"256QAM",0.75,"1024QAM",1,"")</f>
        <v>0.4</v>
      </c>
      <c r="G155" t="s">
        <v>61</v>
      </c>
      <c r="H155">
        <v>16</v>
      </c>
      <c r="I155" t="s">
        <v>62</v>
      </c>
      <c r="J155">
        <v>2</v>
      </c>
      <c r="K155">
        <v>2</v>
      </c>
      <c r="L155" t="s">
        <v>63</v>
      </c>
      <c r="M155">
        <v>2</v>
      </c>
      <c r="N155">
        <v>0.47849999999999998</v>
      </c>
      <c r="O155">
        <v>0.4788</v>
      </c>
      <c r="P155">
        <v>5000</v>
      </c>
      <c r="Q155">
        <v>1256</v>
      </c>
      <c r="R155">
        <v>3744</v>
      </c>
      <c r="S155">
        <v>3.98</v>
      </c>
      <c r="T155">
        <v>298.08999999999997</v>
      </c>
      <c r="W155">
        <v>11</v>
      </c>
      <c r="X155">
        <v>1229</v>
      </c>
      <c r="Y155">
        <v>99.78</v>
      </c>
      <c r="Z155">
        <v>99.12</v>
      </c>
      <c r="AB155">
        <v>179280000</v>
      </c>
      <c r="AC155">
        <v>394416</v>
      </c>
      <c r="AD155">
        <v>179280000</v>
      </c>
      <c r="AE155">
        <v>394416</v>
      </c>
      <c r="AF155">
        <v>374400000</v>
      </c>
      <c r="AG155">
        <v>0.88</v>
      </c>
      <c r="AH155">
        <v>0.22</v>
      </c>
      <c r="AI155">
        <v>1</v>
      </c>
      <c r="AJ155">
        <v>3.9808919999999999</v>
      </c>
      <c r="AK155">
        <v>1.1000000000000001E-3</v>
      </c>
      <c r="AL155">
        <v>0.08</v>
      </c>
      <c r="AM155">
        <v>79</v>
      </c>
      <c r="AN155">
        <v>8.3999999999999995E-3</v>
      </c>
      <c r="AO155">
        <v>30</v>
      </c>
      <c r="AP155">
        <v>21.87</v>
      </c>
      <c r="AQ155">
        <v>0.72</v>
      </c>
      <c r="AR155">
        <v>-5.73</v>
      </c>
      <c r="AS155">
        <v>1.84</v>
      </c>
      <c r="AT155">
        <v>10.46</v>
      </c>
      <c r="AU155">
        <v>6666.69</v>
      </c>
      <c r="AV155">
        <v>35.81</v>
      </c>
      <c r="AW155">
        <v>14.83</v>
      </c>
      <c r="AX155">
        <v>11.05</v>
      </c>
      <c r="AY155">
        <v>22.240936000000001</v>
      </c>
      <c r="AZ155">
        <v>150.90708000000001</v>
      </c>
      <c r="BA155">
        <v>-13.093366</v>
      </c>
      <c r="BB155">
        <v>3.4430299999999998</v>
      </c>
      <c r="BC155">
        <v>13.093366</v>
      </c>
      <c r="BD155">
        <v>30.21659</v>
      </c>
      <c r="BE155">
        <v>252.92471800000001</v>
      </c>
      <c r="BF155">
        <v>-10.457278000000001</v>
      </c>
      <c r="BG155">
        <v>7.8302139999999998</v>
      </c>
      <c r="BH155">
        <v>10.457278000000001</v>
      </c>
    </row>
    <row r="156" spans="1:60" x14ac:dyDescent="0.25">
      <c r="A156" t="s">
        <v>361</v>
      </c>
      <c r="B156" t="s">
        <v>362</v>
      </c>
      <c r="C156">
        <v>0</v>
      </c>
      <c r="D156" t="s">
        <v>360</v>
      </c>
      <c r="E156" cm="1">
        <f t="array" ref="E156">_xlfn.SWITCH(D156,"QPSK",0.1,"16QAM",0.25,"64QAM",0.5,"256QAM",0.8,"1024QAM",1,"")</f>
        <v>0.5</v>
      </c>
      <c r="F156" cm="1">
        <f t="array" ref="F156">_xlfn.SWITCH(D156,"QPSK",0.05,"16QAM",0.15,"64QAM",0.4,"256QAM",0.75,"1024QAM",1,"")</f>
        <v>0.4</v>
      </c>
      <c r="G156" t="s">
        <v>61</v>
      </c>
      <c r="H156">
        <v>1</v>
      </c>
      <c r="I156" t="s">
        <v>62</v>
      </c>
      <c r="J156">
        <v>2</v>
      </c>
      <c r="K156">
        <v>2</v>
      </c>
      <c r="L156" t="s">
        <v>63</v>
      </c>
      <c r="M156">
        <v>2</v>
      </c>
      <c r="N156">
        <v>0.47849999999999998</v>
      </c>
      <c r="O156">
        <v>0.4788</v>
      </c>
      <c r="P156">
        <v>10000</v>
      </c>
      <c r="Q156">
        <v>2500</v>
      </c>
      <c r="R156">
        <v>7500</v>
      </c>
      <c r="S156">
        <v>4</v>
      </c>
      <c r="T156">
        <v>3</v>
      </c>
      <c r="W156">
        <v>11</v>
      </c>
      <c r="X156">
        <v>0</v>
      </c>
      <c r="Y156">
        <v>99.89</v>
      </c>
      <c r="Z156">
        <v>99.56</v>
      </c>
      <c r="AB156">
        <v>358560000</v>
      </c>
      <c r="AC156">
        <v>394416</v>
      </c>
      <c r="AD156">
        <v>358560000</v>
      </c>
      <c r="AE156">
        <v>394416</v>
      </c>
      <c r="AG156">
        <v>0.44</v>
      </c>
      <c r="AH156">
        <v>0.11</v>
      </c>
      <c r="AI156">
        <v>1</v>
      </c>
      <c r="AJ156">
        <v>4</v>
      </c>
      <c r="AK156">
        <v>5.0000000000000001E-4</v>
      </c>
      <c r="AL156">
        <v>0.04</v>
      </c>
      <c r="AM156">
        <v>39</v>
      </c>
      <c r="AN156">
        <v>4.1999999999999997E-3</v>
      </c>
      <c r="AO156">
        <v>30</v>
      </c>
      <c r="AP156">
        <v>21.87</v>
      </c>
      <c r="AQ156">
        <v>0.72</v>
      </c>
      <c r="AR156">
        <v>-5.86</v>
      </c>
      <c r="AS156">
        <v>1.82</v>
      </c>
      <c r="AT156">
        <v>10.17</v>
      </c>
      <c r="AU156">
        <v>6666.69</v>
      </c>
      <c r="AV156">
        <v>35.81</v>
      </c>
      <c r="AW156">
        <v>14.8</v>
      </c>
      <c r="AX156">
        <v>10.93</v>
      </c>
      <c r="AY156">
        <v>22.360994000000002</v>
      </c>
      <c r="AZ156">
        <v>152.491365</v>
      </c>
      <c r="BA156">
        <v>-13.045555</v>
      </c>
      <c r="BB156">
        <v>3.5338310000000002</v>
      </c>
      <c r="BC156">
        <v>13.045555</v>
      </c>
      <c r="BD156">
        <v>30.515605000000001</v>
      </c>
      <c r="BE156">
        <v>257.960464</v>
      </c>
      <c r="BF156">
        <v>-10.379522</v>
      </c>
      <c r="BG156">
        <v>7.9745929999999996</v>
      </c>
      <c r="BH156">
        <v>10.379522</v>
      </c>
    </row>
    <row r="157" spans="1:60" x14ac:dyDescent="0.25">
      <c r="A157" t="s">
        <v>363</v>
      </c>
      <c r="B157" t="s">
        <v>364</v>
      </c>
      <c r="C157">
        <v>0</v>
      </c>
      <c r="D157" t="s">
        <v>360</v>
      </c>
      <c r="E157" cm="1">
        <f t="array" ref="E157">_xlfn.SWITCH(D157,"QPSK",0.1,"16QAM",0.25,"64QAM",0.5,"256QAM",0.8,"1024QAM",1,"")</f>
        <v>0.5</v>
      </c>
      <c r="F157" cm="1">
        <f t="array" ref="F157">_xlfn.SWITCH(D157,"QPSK",0.05,"16QAM",0.15,"64QAM",0.4,"256QAM",0.75,"1024QAM",1,"")</f>
        <v>0.4</v>
      </c>
      <c r="G157" t="s">
        <v>61</v>
      </c>
      <c r="H157">
        <v>1</v>
      </c>
      <c r="I157" t="s">
        <v>62</v>
      </c>
      <c r="J157">
        <v>2</v>
      </c>
      <c r="K157">
        <v>2</v>
      </c>
      <c r="L157" t="s">
        <v>63</v>
      </c>
      <c r="M157">
        <v>2</v>
      </c>
      <c r="N157">
        <v>0.47849999999999998</v>
      </c>
      <c r="O157">
        <v>0.4788</v>
      </c>
      <c r="P157">
        <v>5000</v>
      </c>
      <c r="Q157">
        <v>1250</v>
      </c>
      <c r="R157">
        <v>3750</v>
      </c>
      <c r="S157">
        <v>4</v>
      </c>
      <c r="T157">
        <v>300</v>
      </c>
      <c r="W157">
        <v>10</v>
      </c>
      <c r="X157">
        <v>1239</v>
      </c>
      <c r="Y157">
        <v>99.8</v>
      </c>
      <c r="Z157">
        <v>99.2</v>
      </c>
      <c r="AB157">
        <v>179280000</v>
      </c>
      <c r="AC157">
        <v>358560</v>
      </c>
      <c r="AD157">
        <v>179280000</v>
      </c>
      <c r="AE157">
        <v>358560</v>
      </c>
      <c r="AF157">
        <v>374400000</v>
      </c>
      <c r="AG157">
        <v>0.8</v>
      </c>
      <c r="AH157">
        <v>0.2</v>
      </c>
      <c r="AI157">
        <v>1</v>
      </c>
      <c r="AJ157">
        <v>4</v>
      </c>
      <c r="AK157">
        <v>1E-3</v>
      </c>
      <c r="AL157">
        <v>7.0000000000000007E-2</v>
      </c>
      <c r="AM157">
        <v>72</v>
      </c>
      <c r="AN157">
        <v>7.7000000000000002E-3</v>
      </c>
      <c r="AO157">
        <v>30</v>
      </c>
      <c r="AP157">
        <v>21.87</v>
      </c>
      <c r="AQ157">
        <v>0.72</v>
      </c>
      <c r="AR157">
        <v>-5.73</v>
      </c>
      <c r="AS157">
        <v>1.84</v>
      </c>
      <c r="AT157">
        <v>10.4</v>
      </c>
      <c r="AU157">
        <v>6666.69</v>
      </c>
      <c r="AV157">
        <v>35.81</v>
      </c>
      <c r="AW157">
        <v>14.83</v>
      </c>
      <c r="AX157">
        <v>11.05</v>
      </c>
      <c r="AY157">
        <v>22.234801999999998</v>
      </c>
      <c r="AZ157">
        <v>151.31510800000001</v>
      </c>
      <c r="BA157">
        <v>-13.095974</v>
      </c>
      <c r="BB157">
        <v>3.4632559999999999</v>
      </c>
      <c r="BC157">
        <v>13.095974</v>
      </c>
      <c r="BD157">
        <v>30.223949999999999</v>
      </c>
      <c r="BE157">
        <v>253.525722</v>
      </c>
      <c r="BF157">
        <v>-10.455552000000001</v>
      </c>
      <c r="BG157">
        <v>7.8495039999999996</v>
      </c>
      <c r="BH157">
        <v>10.455552000000001</v>
      </c>
    </row>
    <row r="158" spans="1:60" x14ac:dyDescent="0.25">
      <c r="A158" t="s">
        <v>365</v>
      </c>
      <c r="B158" t="s">
        <v>366</v>
      </c>
      <c r="C158">
        <v>0</v>
      </c>
      <c r="D158" t="s">
        <v>360</v>
      </c>
      <c r="E158" cm="1">
        <f t="array" ref="E158">_xlfn.SWITCH(D158,"QPSK",0.1,"16QAM",0.25,"64QAM",0.5,"256QAM",0.8,"1024QAM",1,"")</f>
        <v>0.5</v>
      </c>
      <c r="F158" cm="1">
        <f t="array" ref="F158">_xlfn.SWITCH(D158,"QPSK",0.05,"16QAM",0.15,"64QAM",0.4,"256QAM",0.75,"1024QAM",1,"")</f>
        <v>0.4</v>
      </c>
      <c r="G158" t="s">
        <v>61</v>
      </c>
      <c r="H158">
        <v>4</v>
      </c>
      <c r="I158" t="s">
        <v>62</v>
      </c>
      <c r="J158">
        <v>2</v>
      </c>
      <c r="K158">
        <v>2</v>
      </c>
      <c r="L158" t="s">
        <v>63</v>
      </c>
      <c r="M158">
        <v>2</v>
      </c>
      <c r="N158">
        <v>0.47849999999999998</v>
      </c>
      <c r="O158">
        <v>0.4788</v>
      </c>
      <c r="P158">
        <v>10000</v>
      </c>
      <c r="Q158">
        <v>2500</v>
      </c>
      <c r="R158">
        <v>7500</v>
      </c>
      <c r="S158">
        <v>4</v>
      </c>
      <c r="T158">
        <v>3</v>
      </c>
      <c r="W158">
        <v>12</v>
      </c>
      <c r="X158">
        <v>0</v>
      </c>
      <c r="Y158">
        <v>99.88</v>
      </c>
      <c r="Z158">
        <v>99.52</v>
      </c>
      <c r="AB158">
        <v>358560000</v>
      </c>
      <c r="AC158">
        <v>430272</v>
      </c>
      <c r="AD158">
        <v>358560000</v>
      </c>
      <c r="AE158">
        <v>430272</v>
      </c>
      <c r="AG158">
        <v>0.48</v>
      </c>
      <c r="AH158">
        <v>0.12</v>
      </c>
      <c r="AI158">
        <v>1</v>
      </c>
      <c r="AJ158">
        <v>4</v>
      </c>
      <c r="AK158">
        <v>5.9999999999999995E-4</v>
      </c>
      <c r="AL158">
        <v>0.04</v>
      </c>
      <c r="AM158">
        <v>43</v>
      </c>
      <c r="AN158">
        <v>4.5999999999999999E-3</v>
      </c>
      <c r="AO158">
        <v>30</v>
      </c>
      <c r="AP158">
        <v>21.87</v>
      </c>
      <c r="AQ158">
        <v>0.72</v>
      </c>
      <c r="AR158">
        <v>-5.86</v>
      </c>
      <c r="AS158">
        <v>1.82</v>
      </c>
      <c r="AT158">
        <v>10.11</v>
      </c>
      <c r="AU158">
        <v>6666.69</v>
      </c>
      <c r="AV158">
        <v>35.81</v>
      </c>
      <c r="AW158">
        <v>14.8</v>
      </c>
      <c r="AX158">
        <v>10.93</v>
      </c>
      <c r="AY158">
        <v>22.363620999999998</v>
      </c>
      <c r="AZ158">
        <v>152.852048</v>
      </c>
      <c r="BA158">
        <v>-13.044096</v>
      </c>
      <c r="BB158">
        <v>3.555968</v>
      </c>
      <c r="BC158">
        <v>13.044096</v>
      </c>
      <c r="BD158">
        <v>30.510836999999999</v>
      </c>
      <c r="BE158">
        <v>257.33824600000003</v>
      </c>
      <c r="BF158">
        <v>-10.380817</v>
      </c>
      <c r="BG158">
        <v>7.9572240000000001</v>
      </c>
      <c r="BH158">
        <v>10.380817</v>
      </c>
    </row>
    <row r="159" spans="1:60" x14ac:dyDescent="0.25">
      <c r="A159" t="s">
        <v>367</v>
      </c>
      <c r="B159" t="s">
        <v>368</v>
      </c>
      <c r="C159">
        <v>0</v>
      </c>
      <c r="D159" t="s">
        <v>360</v>
      </c>
      <c r="E159" cm="1">
        <f t="array" ref="E159">_xlfn.SWITCH(D159,"QPSK",0.1,"16QAM",0.25,"64QAM",0.5,"256QAM",0.8,"1024QAM",1,"")</f>
        <v>0.5</v>
      </c>
      <c r="F159" cm="1">
        <f t="array" ref="F159">_xlfn.SWITCH(D159,"QPSK",0.05,"16QAM",0.15,"64QAM",0.4,"256QAM",0.75,"1024QAM",1,"")</f>
        <v>0.4</v>
      </c>
      <c r="G159" t="s">
        <v>61</v>
      </c>
      <c r="H159">
        <v>4</v>
      </c>
      <c r="I159" t="s">
        <v>62</v>
      </c>
      <c r="J159">
        <v>2</v>
      </c>
      <c r="K159">
        <v>2</v>
      </c>
      <c r="L159" t="s">
        <v>63</v>
      </c>
      <c r="M159">
        <v>2</v>
      </c>
      <c r="N159">
        <v>0.47849999999999998</v>
      </c>
      <c r="O159">
        <v>0.4788</v>
      </c>
      <c r="P159">
        <v>5000</v>
      </c>
      <c r="Q159">
        <v>1252</v>
      </c>
      <c r="R159">
        <v>3748</v>
      </c>
      <c r="S159">
        <v>3.99</v>
      </c>
      <c r="T159">
        <v>299.36</v>
      </c>
      <c r="W159">
        <v>12</v>
      </c>
      <c r="X159">
        <v>1236</v>
      </c>
      <c r="Y159">
        <v>99.76</v>
      </c>
      <c r="Z159">
        <v>99.04</v>
      </c>
      <c r="AB159">
        <v>179280000</v>
      </c>
      <c r="AC159">
        <v>430272</v>
      </c>
      <c r="AD159">
        <v>179280000</v>
      </c>
      <c r="AE159">
        <v>430272</v>
      </c>
      <c r="AF159">
        <v>374400000</v>
      </c>
      <c r="AG159">
        <v>0.96</v>
      </c>
      <c r="AH159">
        <v>0.24</v>
      </c>
      <c r="AI159">
        <v>1</v>
      </c>
      <c r="AJ159">
        <v>3.9936099999999999</v>
      </c>
      <c r="AK159">
        <v>1.1000000000000001E-3</v>
      </c>
      <c r="AL159">
        <v>0.09</v>
      </c>
      <c r="AM159">
        <v>86</v>
      </c>
      <c r="AN159">
        <v>9.1999999999999998E-3</v>
      </c>
      <c r="AO159">
        <v>30</v>
      </c>
      <c r="AP159">
        <v>21.87</v>
      </c>
      <c r="AQ159">
        <v>0.72</v>
      </c>
      <c r="AR159">
        <v>-5.72</v>
      </c>
      <c r="AS159">
        <v>1.85</v>
      </c>
      <c r="AT159">
        <v>10.37</v>
      </c>
      <c r="AU159">
        <v>6666.69</v>
      </c>
      <c r="AV159">
        <v>35.81</v>
      </c>
      <c r="AW159">
        <v>14.83</v>
      </c>
      <c r="AX159">
        <v>11.05</v>
      </c>
      <c r="AY159">
        <v>22.236643999999998</v>
      </c>
      <c r="AZ159">
        <v>151.163004</v>
      </c>
      <c r="BA159">
        <v>-13.094806</v>
      </c>
      <c r="BB159">
        <v>3.457792</v>
      </c>
      <c r="BC159">
        <v>13.094806</v>
      </c>
      <c r="BD159">
        <v>30.226849999999999</v>
      </c>
      <c r="BE159">
        <v>253.56661800000001</v>
      </c>
      <c r="BF159">
        <v>-10.45434</v>
      </c>
      <c r="BG159">
        <v>7.8443759999999996</v>
      </c>
      <c r="BH159">
        <v>10.45434</v>
      </c>
    </row>
    <row r="160" spans="1:60" x14ac:dyDescent="0.25">
      <c r="A160" t="s">
        <v>369</v>
      </c>
      <c r="B160" t="s">
        <v>370</v>
      </c>
      <c r="C160">
        <v>0</v>
      </c>
      <c r="D160" t="s">
        <v>360</v>
      </c>
      <c r="E160" cm="1">
        <f t="array" ref="E160">_xlfn.SWITCH(D160,"QPSK",0.1,"16QAM",0.25,"64QAM",0.5,"256QAM",0.8,"1024QAM",1,"")</f>
        <v>0.5</v>
      </c>
      <c r="F160" cm="1">
        <f t="array" ref="F160">_xlfn.SWITCH(D160,"QPSK",0.05,"16QAM",0.15,"64QAM",0.4,"256QAM",0.75,"1024QAM",1,"")</f>
        <v>0.4</v>
      </c>
      <c r="G160" t="s">
        <v>61</v>
      </c>
      <c r="H160">
        <v>8</v>
      </c>
      <c r="I160" t="s">
        <v>62</v>
      </c>
      <c r="J160">
        <v>2</v>
      </c>
      <c r="K160">
        <v>2</v>
      </c>
      <c r="L160" t="s">
        <v>63</v>
      </c>
      <c r="M160">
        <v>2</v>
      </c>
      <c r="N160">
        <v>0.47849999999999998</v>
      </c>
      <c r="O160">
        <v>0.4788</v>
      </c>
      <c r="P160">
        <v>10000</v>
      </c>
      <c r="Q160">
        <v>2504</v>
      </c>
      <c r="R160">
        <v>7496</v>
      </c>
      <c r="S160">
        <v>3.99</v>
      </c>
      <c r="T160">
        <v>2.99</v>
      </c>
      <c r="W160">
        <v>8</v>
      </c>
      <c r="X160">
        <v>0</v>
      </c>
      <c r="Y160">
        <v>99.92</v>
      </c>
      <c r="Z160">
        <v>99.68</v>
      </c>
      <c r="AB160">
        <v>358560000</v>
      </c>
      <c r="AC160">
        <v>286848</v>
      </c>
      <c r="AD160">
        <v>358560000</v>
      </c>
      <c r="AE160">
        <v>286848</v>
      </c>
      <c r="AG160">
        <v>0.32</v>
      </c>
      <c r="AH160">
        <v>0.08</v>
      </c>
      <c r="AI160">
        <v>1</v>
      </c>
      <c r="AJ160">
        <v>3.9936099999999999</v>
      </c>
      <c r="AK160">
        <v>4.0000000000000002E-4</v>
      </c>
      <c r="AL160">
        <v>0.03</v>
      </c>
      <c r="AM160">
        <v>29</v>
      </c>
      <c r="AN160">
        <v>3.0999999999999999E-3</v>
      </c>
      <c r="AO160">
        <v>30</v>
      </c>
      <c r="AP160">
        <v>21.87</v>
      </c>
      <c r="AQ160">
        <v>0.72</v>
      </c>
      <c r="AR160">
        <v>-5.86</v>
      </c>
      <c r="AS160">
        <v>1.82</v>
      </c>
      <c r="AT160">
        <v>10.199999999999999</v>
      </c>
      <c r="AU160">
        <v>6666.69</v>
      </c>
      <c r="AV160">
        <v>35.81</v>
      </c>
      <c r="AW160">
        <v>14.8</v>
      </c>
      <c r="AX160">
        <v>10.93</v>
      </c>
      <c r="AY160">
        <v>22.358013</v>
      </c>
      <c r="AZ160">
        <v>152.54522600000001</v>
      </c>
      <c r="BA160">
        <v>-13.046265</v>
      </c>
      <c r="BB160">
        <v>3.5369459999999999</v>
      </c>
      <c r="BC160">
        <v>13.046265</v>
      </c>
      <c r="BD160">
        <v>30.514766000000002</v>
      </c>
      <c r="BE160">
        <v>258.16652299999998</v>
      </c>
      <c r="BF160">
        <v>-10.380049</v>
      </c>
      <c r="BG160">
        <v>7.9804919999999999</v>
      </c>
      <c r="BH160">
        <v>10.380049</v>
      </c>
    </row>
    <row r="161" spans="1:60" x14ac:dyDescent="0.25">
      <c r="A161" t="s">
        <v>371</v>
      </c>
      <c r="B161" t="s">
        <v>372</v>
      </c>
      <c r="C161">
        <v>10</v>
      </c>
      <c r="D161" t="s">
        <v>360</v>
      </c>
      <c r="E161" cm="1">
        <f t="array" ref="E161">_xlfn.SWITCH(D161,"QPSK",0.1,"16QAM",0.25,"64QAM",0.5,"256QAM",0.8,"1024QAM",1,"")</f>
        <v>0.5</v>
      </c>
      <c r="F161" cm="1">
        <f t="array" ref="F161">_xlfn.SWITCH(D161,"QPSK",0.05,"16QAM",0.15,"64QAM",0.4,"256QAM",0.75,"1024QAM",1,"")</f>
        <v>0.4</v>
      </c>
      <c r="G161" t="s">
        <v>61</v>
      </c>
      <c r="H161">
        <v>16</v>
      </c>
      <c r="I161" t="s">
        <v>62</v>
      </c>
      <c r="J161">
        <v>2</v>
      </c>
      <c r="K161">
        <v>2</v>
      </c>
      <c r="L161" t="s">
        <v>63</v>
      </c>
      <c r="M161">
        <v>2</v>
      </c>
      <c r="N161">
        <v>0.47849999999999998</v>
      </c>
      <c r="O161">
        <v>0.4788</v>
      </c>
      <c r="P161">
        <v>5000</v>
      </c>
      <c r="Q161">
        <v>1952</v>
      </c>
      <c r="R161">
        <v>3048</v>
      </c>
      <c r="S161">
        <v>2.56</v>
      </c>
      <c r="T161">
        <v>156.15</v>
      </c>
      <c r="W161">
        <v>1945</v>
      </c>
      <c r="X161">
        <v>0</v>
      </c>
      <c r="Y161">
        <v>61.1</v>
      </c>
      <c r="Z161">
        <v>0.36</v>
      </c>
      <c r="AB161">
        <v>179280000</v>
      </c>
      <c r="AC161">
        <v>69739920</v>
      </c>
      <c r="AD161">
        <v>179280000</v>
      </c>
      <c r="AE161">
        <v>69739920</v>
      </c>
      <c r="AF161">
        <v>374400000</v>
      </c>
      <c r="AG161">
        <v>99.64</v>
      </c>
      <c r="AH161">
        <v>38.9</v>
      </c>
      <c r="AI161">
        <v>1</v>
      </c>
      <c r="AJ161">
        <v>2.5614750000000002</v>
      </c>
      <c r="AK161">
        <v>0.18629999999999999</v>
      </c>
      <c r="AL161">
        <v>13.95</v>
      </c>
      <c r="AM161">
        <v>13948</v>
      </c>
      <c r="AN161">
        <v>1.4902</v>
      </c>
      <c r="AO161">
        <v>30</v>
      </c>
      <c r="AP161">
        <v>21.87</v>
      </c>
      <c r="AQ161">
        <v>0.72</v>
      </c>
      <c r="AR161">
        <v>-5.93</v>
      </c>
      <c r="AS161">
        <v>1.98</v>
      </c>
      <c r="AT161">
        <v>23.02</v>
      </c>
      <c r="AU161">
        <v>6666.69</v>
      </c>
      <c r="AV161">
        <v>35.81</v>
      </c>
      <c r="AW161">
        <v>16.59</v>
      </c>
      <c r="AX161">
        <v>14.49</v>
      </c>
      <c r="AY161">
        <v>15.370711999999999</v>
      </c>
      <c r="AZ161">
        <v>86.886184</v>
      </c>
      <c r="BA161">
        <v>-16.297173999999998</v>
      </c>
      <c r="BB161">
        <v>-1.6757599999999999</v>
      </c>
      <c r="BC161">
        <v>16.297173999999998</v>
      </c>
      <c r="BD161">
        <v>23.223071999999998</v>
      </c>
      <c r="BE161">
        <v>169.35060799999999</v>
      </c>
      <c r="BF161">
        <v>-12.797966000000001</v>
      </c>
      <c r="BG161">
        <v>4.3361200000000002</v>
      </c>
      <c r="BH161">
        <v>12.797966000000001</v>
      </c>
    </row>
    <row r="162" spans="1:60" x14ac:dyDescent="0.25">
      <c r="A162" t="s">
        <v>373</v>
      </c>
      <c r="B162" t="s">
        <v>374</v>
      </c>
      <c r="C162">
        <v>10</v>
      </c>
      <c r="D162" t="s">
        <v>360</v>
      </c>
      <c r="E162" cm="1">
        <f t="array" ref="E162">_xlfn.SWITCH(D162,"QPSK",0.1,"16QAM",0.25,"64QAM",0.5,"256QAM",0.8,"1024QAM",1,"")</f>
        <v>0.5</v>
      </c>
      <c r="F162" cm="1">
        <f t="array" ref="F162">_xlfn.SWITCH(D162,"QPSK",0.05,"16QAM",0.15,"64QAM",0.4,"256QAM",0.75,"1024QAM",1,"")</f>
        <v>0.4</v>
      </c>
      <c r="G162" t="s">
        <v>61</v>
      </c>
      <c r="H162">
        <v>1</v>
      </c>
      <c r="I162" t="s">
        <v>62</v>
      </c>
      <c r="J162">
        <v>2</v>
      </c>
      <c r="K162">
        <v>2</v>
      </c>
      <c r="L162" t="s">
        <v>63</v>
      </c>
      <c r="M162">
        <v>2</v>
      </c>
      <c r="N162">
        <v>0.47849999999999998</v>
      </c>
      <c r="O162">
        <v>0.4788</v>
      </c>
      <c r="P162">
        <v>10000</v>
      </c>
      <c r="Q162">
        <v>3926</v>
      </c>
      <c r="R162">
        <v>6074</v>
      </c>
      <c r="S162">
        <v>2.5499999999999998</v>
      </c>
      <c r="T162">
        <v>1.55</v>
      </c>
      <c r="W162">
        <v>3810</v>
      </c>
      <c r="X162">
        <v>0</v>
      </c>
      <c r="Y162">
        <v>61.9</v>
      </c>
      <c r="Z162">
        <v>2.95</v>
      </c>
      <c r="AB162">
        <v>358560000</v>
      </c>
      <c r="AC162">
        <v>136611360</v>
      </c>
      <c r="AD162">
        <v>358560000</v>
      </c>
      <c r="AE162">
        <v>136611360</v>
      </c>
      <c r="AG162">
        <v>97.05</v>
      </c>
      <c r="AH162">
        <v>38.1</v>
      </c>
      <c r="AI162">
        <v>1</v>
      </c>
      <c r="AJ162">
        <v>2.5471219999999999</v>
      </c>
      <c r="AK162">
        <v>0.18240000000000001</v>
      </c>
      <c r="AL162">
        <v>13.66</v>
      </c>
      <c r="AM162">
        <v>13661</v>
      </c>
      <c r="AN162">
        <v>1.4595</v>
      </c>
      <c r="AO162">
        <v>30</v>
      </c>
      <c r="AP162">
        <v>21.87</v>
      </c>
      <c r="AQ162">
        <v>0.72</v>
      </c>
      <c r="AR162">
        <v>-6.07</v>
      </c>
      <c r="AS162">
        <v>1.96</v>
      </c>
      <c r="AT162">
        <v>22.05</v>
      </c>
      <c r="AU162">
        <v>6666.69</v>
      </c>
      <c r="AV162">
        <v>35.81</v>
      </c>
      <c r="AW162">
        <v>16.55</v>
      </c>
      <c r="AX162">
        <v>14.41</v>
      </c>
      <c r="AY162">
        <v>15.467736</v>
      </c>
      <c r="AZ162">
        <v>88.159779</v>
      </c>
      <c r="BA162">
        <v>-16.246575</v>
      </c>
      <c r="BB162">
        <v>-1.569598</v>
      </c>
      <c r="BC162">
        <v>16.246575</v>
      </c>
      <c r="BD162">
        <v>23.571266000000001</v>
      </c>
      <c r="BE162">
        <v>173.33156099999999</v>
      </c>
      <c r="BF162">
        <v>-12.681143</v>
      </c>
      <c r="BG162">
        <v>4.5258859999999999</v>
      </c>
      <c r="BH162">
        <v>12.681143</v>
      </c>
    </row>
    <row r="163" spans="1:60" x14ac:dyDescent="0.25">
      <c r="A163" t="s">
        <v>375</v>
      </c>
      <c r="B163" t="s">
        <v>376</v>
      </c>
      <c r="C163">
        <v>10</v>
      </c>
      <c r="D163" t="s">
        <v>360</v>
      </c>
      <c r="E163" cm="1">
        <f t="array" ref="E163">_xlfn.SWITCH(D163,"QPSK",0.1,"16QAM",0.25,"64QAM",0.5,"256QAM",0.8,"1024QAM",1,"")</f>
        <v>0.5</v>
      </c>
      <c r="F163" cm="1">
        <f t="array" ref="F163">_xlfn.SWITCH(D163,"QPSK",0.05,"16QAM",0.15,"64QAM",0.4,"256QAM",0.75,"1024QAM",1,"")</f>
        <v>0.4</v>
      </c>
      <c r="G163" t="s">
        <v>61</v>
      </c>
      <c r="H163">
        <v>1</v>
      </c>
      <c r="I163" t="s">
        <v>62</v>
      </c>
      <c r="J163">
        <v>2</v>
      </c>
      <c r="K163">
        <v>2</v>
      </c>
      <c r="L163" t="s">
        <v>63</v>
      </c>
      <c r="M163">
        <v>2</v>
      </c>
      <c r="N163">
        <v>0.47849999999999998</v>
      </c>
      <c r="O163">
        <v>0.4788</v>
      </c>
      <c r="P163">
        <v>10000</v>
      </c>
      <c r="Q163">
        <v>3923</v>
      </c>
      <c r="R163">
        <v>6077</v>
      </c>
      <c r="S163">
        <v>2.5499999999999998</v>
      </c>
      <c r="T163">
        <v>1.55</v>
      </c>
      <c r="W163">
        <v>3804</v>
      </c>
      <c r="X163">
        <v>0</v>
      </c>
      <c r="Y163">
        <v>61.96</v>
      </c>
      <c r="Z163">
        <v>3.03</v>
      </c>
      <c r="AB163">
        <v>358560000</v>
      </c>
      <c r="AC163">
        <v>136396224</v>
      </c>
      <c r="AD163">
        <v>358560000</v>
      </c>
      <c r="AE163">
        <v>136396224</v>
      </c>
      <c r="AG163">
        <v>96.97</v>
      </c>
      <c r="AH163">
        <v>38.04</v>
      </c>
      <c r="AI163">
        <v>1</v>
      </c>
      <c r="AJ163">
        <v>2.5490699999999999</v>
      </c>
      <c r="AK163">
        <v>0.1822</v>
      </c>
      <c r="AL163">
        <v>13.64</v>
      </c>
      <c r="AM163">
        <v>13640</v>
      </c>
      <c r="AN163">
        <v>1.4572000000000001</v>
      </c>
      <c r="AO163">
        <v>30</v>
      </c>
      <c r="AP163">
        <v>21.87</v>
      </c>
      <c r="AQ163">
        <v>0.72</v>
      </c>
      <c r="AR163">
        <v>-6.07</v>
      </c>
      <c r="AS163">
        <v>1.96</v>
      </c>
      <c r="AT163">
        <v>22.2</v>
      </c>
      <c r="AU163">
        <v>6666.69</v>
      </c>
      <c r="AV163">
        <v>35.81</v>
      </c>
      <c r="AW163">
        <v>16.55</v>
      </c>
      <c r="AX163">
        <v>14.41</v>
      </c>
      <c r="AY163">
        <v>15.475068</v>
      </c>
      <c r="AZ163">
        <v>88.148489999999995</v>
      </c>
      <c r="BA163">
        <v>-16.242445</v>
      </c>
      <c r="BB163">
        <v>-1.5650280000000001</v>
      </c>
      <c r="BC163">
        <v>16.242445</v>
      </c>
      <c r="BD163">
        <v>23.587796999999998</v>
      </c>
      <c r="BE163">
        <v>173.676042</v>
      </c>
      <c r="BF163">
        <v>-12.675665</v>
      </c>
      <c r="BG163">
        <v>4.5424360000000004</v>
      </c>
      <c r="BH163">
        <v>12.675665</v>
      </c>
    </row>
    <row r="164" spans="1:60" x14ac:dyDescent="0.25">
      <c r="A164" t="s">
        <v>377</v>
      </c>
      <c r="B164" t="s">
        <v>378</v>
      </c>
      <c r="C164">
        <v>10</v>
      </c>
      <c r="D164" t="s">
        <v>360</v>
      </c>
      <c r="E164" cm="1">
        <f t="array" ref="E164">_xlfn.SWITCH(D164,"QPSK",0.1,"16QAM",0.25,"64QAM",0.5,"256QAM",0.8,"1024QAM",1,"")</f>
        <v>0.5</v>
      </c>
      <c r="F164" cm="1">
        <f t="array" ref="F164">_xlfn.SWITCH(D164,"QPSK",0.05,"16QAM",0.15,"64QAM",0.4,"256QAM",0.75,"1024QAM",1,"")</f>
        <v>0.4</v>
      </c>
      <c r="G164" t="s">
        <v>61</v>
      </c>
      <c r="H164">
        <v>1</v>
      </c>
      <c r="I164" t="s">
        <v>62</v>
      </c>
      <c r="J164">
        <v>2</v>
      </c>
      <c r="K164">
        <v>2</v>
      </c>
      <c r="L164" t="s">
        <v>63</v>
      </c>
      <c r="M164">
        <v>2</v>
      </c>
      <c r="N164">
        <v>0.47849999999999998</v>
      </c>
      <c r="O164">
        <v>0.4788</v>
      </c>
      <c r="P164">
        <v>5000</v>
      </c>
      <c r="Q164">
        <v>1998</v>
      </c>
      <c r="R164">
        <v>3002</v>
      </c>
      <c r="S164">
        <v>2.5</v>
      </c>
      <c r="T164">
        <v>150.25</v>
      </c>
      <c r="W164">
        <v>1945</v>
      </c>
      <c r="X164">
        <v>52</v>
      </c>
      <c r="Y164">
        <v>61.1</v>
      </c>
      <c r="Z164">
        <v>2.65</v>
      </c>
      <c r="AB164">
        <v>179280000</v>
      </c>
      <c r="AC164">
        <v>69739920</v>
      </c>
      <c r="AD164">
        <v>179280000</v>
      </c>
      <c r="AE164">
        <v>69739920</v>
      </c>
      <c r="AF164">
        <v>374400000</v>
      </c>
      <c r="AG164">
        <v>97.35</v>
      </c>
      <c r="AH164">
        <v>38.9</v>
      </c>
      <c r="AI164">
        <v>1</v>
      </c>
      <c r="AJ164">
        <v>2.5025029999999999</v>
      </c>
      <c r="AK164">
        <v>0.18629999999999999</v>
      </c>
      <c r="AL164">
        <v>13.95</v>
      </c>
      <c r="AM164">
        <v>13948</v>
      </c>
      <c r="AN164">
        <v>1.4902</v>
      </c>
      <c r="AO164">
        <v>30</v>
      </c>
      <c r="AP164">
        <v>21.87</v>
      </c>
      <c r="AQ164">
        <v>0.72</v>
      </c>
      <c r="AR164">
        <v>-5.93</v>
      </c>
      <c r="AS164">
        <v>1.98</v>
      </c>
      <c r="AT164">
        <v>22.53</v>
      </c>
      <c r="AU164">
        <v>6666.69</v>
      </c>
      <c r="AV164">
        <v>35.81</v>
      </c>
      <c r="AW164">
        <v>16.59</v>
      </c>
      <c r="AX164">
        <v>14.49</v>
      </c>
      <c r="AY164">
        <v>15.376340000000001</v>
      </c>
      <c r="AZ164">
        <v>87.114649999999997</v>
      </c>
      <c r="BA164">
        <v>-16.294547999999999</v>
      </c>
      <c r="BB164">
        <v>-1.657486</v>
      </c>
      <c r="BC164">
        <v>16.294547999999999</v>
      </c>
      <c r="BD164">
        <v>23.227156000000001</v>
      </c>
      <c r="BE164">
        <v>169.74708000000001</v>
      </c>
      <c r="BF164">
        <v>-12.79664</v>
      </c>
      <c r="BG164">
        <v>4.3512899999999997</v>
      </c>
      <c r="BH164">
        <v>12.79664</v>
      </c>
    </row>
    <row r="165" spans="1:60" x14ac:dyDescent="0.25">
      <c r="A165" t="s">
        <v>379</v>
      </c>
      <c r="B165" t="s">
        <v>380</v>
      </c>
      <c r="C165">
        <v>10</v>
      </c>
      <c r="D165" t="s">
        <v>360</v>
      </c>
      <c r="E165" cm="1">
        <f t="array" ref="E165">_xlfn.SWITCH(D165,"QPSK",0.1,"16QAM",0.25,"64QAM",0.5,"256QAM",0.8,"1024QAM",1,"")</f>
        <v>0.5</v>
      </c>
      <c r="F165" cm="1">
        <f t="array" ref="F165">_xlfn.SWITCH(D165,"QPSK",0.05,"16QAM",0.15,"64QAM",0.4,"256QAM",0.75,"1024QAM",1,"")</f>
        <v>0.4</v>
      </c>
      <c r="G165" t="s">
        <v>61</v>
      </c>
      <c r="H165">
        <v>4</v>
      </c>
      <c r="I165" t="s">
        <v>62</v>
      </c>
      <c r="J165">
        <v>2</v>
      </c>
      <c r="K165">
        <v>2</v>
      </c>
      <c r="L165" t="s">
        <v>63</v>
      </c>
      <c r="M165">
        <v>2</v>
      </c>
      <c r="N165">
        <v>0.47849999999999998</v>
      </c>
      <c r="O165">
        <v>0.4788</v>
      </c>
      <c r="P165">
        <v>10000</v>
      </c>
      <c r="Q165">
        <v>3904</v>
      </c>
      <c r="R165">
        <v>6096</v>
      </c>
      <c r="S165">
        <v>2.56</v>
      </c>
      <c r="T165">
        <v>1.56</v>
      </c>
      <c r="W165">
        <v>3805</v>
      </c>
      <c r="X165">
        <v>0</v>
      </c>
      <c r="Y165">
        <v>61.95</v>
      </c>
      <c r="Z165">
        <v>2.54</v>
      </c>
      <c r="AB165">
        <v>358560000</v>
      </c>
      <c r="AC165">
        <v>136432080</v>
      </c>
      <c r="AD165">
        <v>358560000</v>
      </c>
      <c r="AE165">
        <v>136432080</v>
      </c>
      <c r="AG165">
        <v>97.46</v>
      </c>
      <c r="AH165">
        <v>38.049999999999997</v>
      </c>
      <c r="AI165">
        <v>1</v>
      </c>
      <c r="AJ165">
        <v>2.5614750000000002</v>
      </c>
      <c r="AK165">
        <v>0.1822</v>
      </c>
      <c r="AL165">
        <v>13.64</v>
      </c>
      <c r="AM165">
        <v>13643</v>
      </c>
      <c r="AN165">
        <v>1.4576</v>
      </c>
      <c r="AO165">
        <v>30</v>
      </c>
      <c r="AP165">
        <v>21.87</v>
      </c>
      <c r="AQ165">
        <v>0.72</v>
      </c>
      <c r="AR165">
        <v>-6.07</v>
      </c>
      <c r="AS165">
        <v>1.96</v>
      </c>
      <c r="AT165">
        <v>22.07</v>
      </c>
      <c r="AU165">
        <v>6666.69</v>
      </c>
      <c r="AV165">
        <v>35.81</v>
      </c>
      <c r="AW165">
        <v>16.55</v>
      </c>
      <c r="AX165">
        <v>14.41</v>
      </c>
      <c r="AY165">
        <v>15.471507000000001</v>
      </c>
      <c r="AZ165">
        <v>88.018731000000002</v>
      </c>
      <c r="BA165">
        <v>-16.244453</v>
      </c>
      <c r="BB165">
        <v>-1.571917</v>
      </c>
      <c r="BC165">
        <v>16.244453</v>
      </c>
      <c r="BD165">
        <v>23.578598</v>
      </c>
      <c r="BE165">
        <v>173.480636</v>
      </c>
      <c r="BF165">
        <v>-12.678801</v>
      </c>
      <c r="BG165">
        <v>4.5374400000000001</v>
      </c>
      <c r="BH165">
        <v>12.678801</v>
      </c>
    </row>
    <row r="166" spans="1:60" x14ac:dyDescent="0.25">
      <c r="A166" t="s">
        <v>381</v>
      </c>
      <c r="B166" t="s">
        <v>382</v>
      </c>
      <c r="C166">
        <v>10</v>
      </c>
      <c r="D166" t="s">
        <v>360</v>
      </c>
      <c r="E166" cm="1">
        <f t="array" ref="E166">_xlfn.SWITCH(D166,"QPSK",0.1,"16QAM",0.25,"64QAM",0.5,"256QAM",0.8,"1024QAM",1,"")</f>
        <v>0.5</v>
      </c>
      <c r="F166" cm="1">
        <f t="array" ref="F166">_xlfn.SWITCH(D166,"QPSK",0.05,"16QAM",0.15,"64QAM",0.4,"256QAM",0.75,"1024QAM",1,"")</f>
        <v>0.4</v>
      </c>
      <c r="G166" t="s">
        <v>61</v>
      </c>
      <c r="H166">
        <v>4</v>
      </c>
      <c r="I166" t="s">
        <v>62</v>
      </c>
      <c r="J166">
        <v>2</v>
      </c>
      <c r="K166">
        <v>2</v>
      </c>
      <c r="L166" t="s">
        <v>63</v>
      </c>
      <c r="M166">
        <v>2</v>
      </c>
      <c r="N166">
        <v>0.47849999999999998</v>
      </c>
      <c r="O166">
        <v>0.4788</v>
      </c>
      <c r="P166">
        <v>10000</v>
      </c>
      <c r="Q166">
        <v>3899</v>
      </c>
      <c r="R166">
        <v>6101</v>
      </c>
      <c r="S166">
        <v>2.56</v>
      </c>
      <c r="T166">
        <v>1.56</v>
      </c>
      <c r="W166">
        <v>3793</v>
      </c>
      <c r="X166">
        <v>0</v>
      </c>
      <c r="Y166">
        <v>62.07</v>
      </c>
      <c r="Z166">
        <v>2.72</v>
      </c>
      <c r="AB166">
        <v>358560000</v>
      </c>
      <c r="AC166">
        <v>136001808</v>
      </c>
      <c r="AD166">
        <v>358560000</v>
      </c>
      <c r="AE166">
        <v>136001808</v>
      </c>
      <c r="AG166">
        <v>97.28</v>
      </c>
      <c r="AH166">
        <v>37.93</v>
      </c>
      <c r="AI166">
        <v>1</v>
      </c>
      <c r="AJ166">
        <v>2.5647600000000002</v>
      </c>
      <c r="AK166">
        <v>0.18160000000000001</v>
      </c>
      <c r="AL166">
        <v>13.6</v>
      </c>
      <c r="AM166">
        <v>13600</v>
      </c>
      <c r="AN166">
        <v>1.4530000000000001</v>
      </c>
      <c r="AO166">
        <v>30</v>
      </c>
      <c r="AP166">
        <v>21.87</v>
      </c>
      <c r="AQ166">
        <v>0.72</v>
      </c>
      <c r="AR166">
        <v>-6.07</v>
      </c>
      <c r="AS166">
        <v>1.97</v>
      </c>
      <c r="AT166">
        <v>22.06</v>
      </c>
      <c r="AU166">
        <v>6666.69</v>
      </c>
      <c r="AV166">
        <v>35.81</v>
      </c>
      <c r="AW166">
        <v>16.55</v>
      </c>
      <c r="AX166">
        <v>14.41</v>
      </c>
      <c r="AY166">
        <v>15.470178000000001</v>
      </c>
      <c r="AZ166">
        <v>88.242101000000005</v>
      </c>
      <c r="BA166">
        <v>-16.245335000000001</v>
      </c>
      <c r="BB166">
        <v>-1.565863</v>
      </c>
      <c r="BC166">
        <v>16.245335000000001</v>
      </c>
      <c r="BD166">
        <v>23.566327000000001</v>
      </c>
      <c r="BE166">
        <v>173.533331</v>
      </c>
      <c r="BF166">
        <v>-12.683102999999999</v>
      </c>
      <c r="BG166">
        <v>4.5337160000000001</v>
      </c>
      <c r="BH166">
        <v>12.683102999999999</v>
      </c>
    </row>
    <row r="167" spans="1:60" x14ac:dyDescent="0.25">
      <c r="A167" t="s">
        <v>383</v>
      </c>
      <c r="B167" t="s">
        <v>384</v>
      </c>
      <c r="C167">
        <v>10</v>
      </c>
      <c r="D167" t="s">
        <v>360</v>
      </c>
      <c r="E167" cm="1">
        <f t="array" ref="E167">_xlfn.SWITCH(D167,"QPSK",0.1,"16QAM",0.25,"64QAM",0.5,"256QAM",0.8,"1024QAM",1,"")</f>
        <v>0.5</v>
      </c>
      <c r="F167" cm="1">
        <f t="array" ref="F167">_xlfn.SWITCH(D167,"QPSK",0.05,"16QAM",0.15,"64QAM",0.4,"256QAM",0.75,"1024QAM",1,"")</f>
        <v>0.4</v>
      </c>
      <c r="G167" t="s">
        <v>61</v>
      </c>
      <c r="H167">
        <v>4</v>
      </c>
      <c r="I167" t="s">
        <v>62</v>
      </c>
      <c r="J167">
        <v>2</v>
      </c>
      <c r="K167">
        <v>2</v>
      </c>
      <c r="L167" t="s">
        <v>63</v>
      </c>
      <c r="M167">
        <v>2</v>
      </c>
      <c r="N167">
        <v>0.47849999999999998</v>
      </c>
      <c r="O167">
        <v>0.4788</v>
      </c>
      <c r="P167">
        <v>5000</v>
      </c>
      <c r="Q167">
        <v>1986</v>
      </c>
      <c r="R167">
        <v>3014</v>
      </c>
      <c r="S167">
        <v>2.52</v>
      </c>
      <c r="T167">
        <v>151.76</v>
      </c>
      <c r="W167">
        <v>1941</v>
      </c>
      <c r="X167">
        <v>44</v>
      </c>
      <c r="Y167">
        <v>61.18</v>
      </c>
      <c r="Z167">
        <v>2.27</v>
      </c>
      <c r="AB167">
        <v>179280000</v>
      </c>
      <c r="AC167">
        <v>69596496</v>
      </c>
      <c r="AD167">
        <v>179280000</v>
      </c>
      <c r="AE167">
        <v>69596496</v>
      </c>
      <c r="AF167">
        <v>374400000</v>
      </c>
      <c r="AG167">
        <v>97.73</v>
      </c>
      <c r="AH167">
        <v>38.82</v>
      </c>
      <c r="AI167">
        <v>1</v>
      </c>
      <c r="AJ167">
        <v>2.5176229999999999</v>
      </c>
      <c r="AK167">
        <v>0.18590000000000001</v>
      </c>
      <c r="AL167">
        <v>13.92</v>
      </c>
      <c r="AM167">
        <v>13919</v>
      </c>
      <c r="AN167">
        <v>1.4871000000000001</v>
      </c>
      <c r="AO167">
        <v>30</v>
      </c>
      <c r="AP167">
        <v>21.87</v>
      </c>
      <c r="AQ167">
        <v>0.72</v>
      </c>
      <c r="AR167">
        <v>-5.93</v>
      </c>
      <c r="AS167">
        <v>1.98</v>
      </c>
      <c r="AT167">
        <v>22.73</v>
      </c>
      <c r="AU167">
        <v>6666.69</v>
      </c>
      <c r="AV167">
        <v>35.81</v>
      </c>
      <c r="AW167">
        <v>16.59</v>
      </c>
      <c r="AX167">
        <v>14.49</v>
      </c>
      <c r="AY167">
        <v>15.371864</v>
      </c>
      <c r="AZ167">
        <v>86.924781999999993</v>
      </c>
      <c r="BA167">
        <v>-16.296721999999999</v>
      </c>
      <c r="BB167">
        <v>-1.6746160000000001</v>
      </c>
      <c r="BC167">
        <v>16.296721999999999</v>
      </c>
      <c r="BD167">
        <v>23.231045999999999</v>
      </c>
      <c r="BE167">
        <v>169.855582</v>
      </c>
      <c r="BF167">
        <v>-12.79513</v>
      </c>
      <c r="BG167">
        <v>4.3574919999999997</v>
      </c>
      <c r="BH167">
        <v>12.79513</v>
      </c>
    </row>
    <row r="168" spans="1:60" x14ac:dyDescent="0.25">
      <c r="A168" t="s">
        <v>385</v>
      </c>
      <c r="B168" t="s">
        <v>386</v>
      </c>
      <c r="C168">
        <v>10</v>
      </c>
      <c r="D168" t="s">
        <v>360</v>
      </c>
      <c r="E168" cm="1">
        <f t="array" ref="E168">_xlfn.SWITCH(D168,"QPSK",0.1,"16QAM",0.25,"64QAM",0.5,"256QAM",0.8,"1024QAM",1,"")</f>
        <v>0.5</v>
      </c>
      <c r="F168" cm="1">
        <f t="array" ref="F168">_xlfn.SWITCH(D168,"QPSK",0.05,"16QAM",0.15,"64QAM",0.4,"256QAM",0.75,"1024QAM",1,"")</f>
        <v>0.4</v>
      </c>
      <c r="G168" t="s">
        <v>61</v>
      </c>
      <c r="H168">
        <v>8</v>
      </c>
      <c r="I168" t="s">
        <v>62</v>
      </c>
      <c r="J168">
        <v>2</v>
      </c>
      <c r="K168">
        <v>2</v>
      </c>
      <c r="L168" t="s">
        <v>63</v>
      </c>
      <c r="M168">
        <v>2</v>
      </c>
      <c r="N168">
        <v>0.47849999999999998</v>
      </c>
      <c r="O168">
        <v>0.4788</v>
      </c>
      <c r="P168">
        <v>10000</v>
      </c>
      <c r="Q168">
        <v>3872</v>
      </c>
      <c r="R168">
        <v>6128</v>
      </c>
      <c r="S168">
        <v>2.58</v>
      </c>
      <c r="T168">
        <v>1.58</v>
      </c>
      <c r="W168">
        <v>3781</v>
      </c>
      <c r="X168">
        <v>0</v>
      </c>
      <c r="Y168">
        <v>62.19</v>
      </c>
      <c r="Z168">
        <v>2.35</v>
      </c>
      <c r="AB168">
        <v>358560000</v>
      </c>
      <c r="AC168">
        <v>135571536</v>
      </c>
      <c r="AD168">
        <v>358560000</v>
      </c>
      <c r="AE168">
        <v>135571536</v>
      </c>
      <c r="AG168">
        <v>97.65</v>
      </c>
      <c r="AH168">
        <v>37.81</v>
      </c>
      <c r="AI168">
        <v>1</v>
      </c>
      <c r="AJ168">
        <v>2.5826449999999999</v>
      </c>
      <c r="AK168">
        <v>0.18110000000000001</v>
      </c>
      <c r="AL168">
        <v>13.56</v>
      </c>
      <c r="AM168">
        <v>13557</v>
      </c>
      <c r="AN168">
        <v>1.4483999999999999</v>
      </c>
      <c r="AO168">
        <v>30</v>
      </c>
      <c r="AP168">
        <v>21.87</v>
      </c>
      <c r="AQ168">
        <v>0.72</v>
      </c>
      <c r="AR168">
        <v>-6.07</v>
      </c>
      <c r="AS168">
        <v>1.96</v>
      </c>
      <c r="AT168">
        <v>21.9</v>
      </c>
      <c r="AU168">
        <v>6666.69</v>
      </c>
      <c r="AV168">
        <v>35.81</v>
      </c>
      <c r="AW168">
        <v>16.55</v>
      </c>
      <c r="AX168">
        <v>14.41</v>
      </c>
      <c r="AY168">
        <v>15.469544000000001</v>
      </c>
      <c r="AZ168">
        <v>88.052385999999998</v>
      </c>
      <c r="BA168">
        <v>-16.245684000000001</v>
      </c>
      <c r="BB168">
        <v>-1.5702469999999999</v>
      </c>
      <c r="BC168">
        <v>16.245684000000001</v>
      </c>
      <c r="BD168">
        <v>23.571448</v>
      </c>
      <c r="BE168">
        <v>173.16451799999999</v>
      </c>
      <c r="BF168">
        <v>-12.681770999999999</v>
      </c>
      <c r="BG168">
        <v>4.5184920000000002</v>
      </c>
      <c r="BH168">
        <v>12.681770999999999</v>
      </c>
    </row>
    <row r="169" spans="1:60" x14ac:dyDescent="0.25">
      <c r="A169" t="s">
        <v>387</v>
      </c>
      <c r="B169" t="s">
        <v>388</v>
      </c>
      <c r="C169">
        <v>10</v>
      </c>
      <c r="D169" t="s">
        <v>360</v>
      </c>
      <c r="E169" cm="1">
        <f t="array" ref="E169">_xlfn.SWITCH(D169,"QPSK",0.1,"16QAM",0.25,"64QAM",0.5,"256QAM",0.8,"1024QAM",1,"")</f>
        <v>0.5</v>
      </c>
      <c r="F169" cm="1">
        <f t="array" ref="F169">_xlfn.SWITCH(D169,"QPSK",0.05,"16QAM",0.15,"64QAM",0.4,"256QAM",0.75,"1024QAM",1,"")</f>
        <v>0.4</v>
      </c>
      <c r="G169" t="s">
        <v>61</v>
      </c>
      <c r="H169">
        <v>8</v>
      </c>
      <c r="I169" t="s">
        <v>62</v>
      </c>
      <c r="J169">
        <v>2</v>
      </c>
      <c r="K169">
        <v>2</v>
      </c>
      <c r="L169" t="s">
        <v>63</v>
      </c>
      <c r="M169">
        <v>2</v>
      </c>
      <c r="N169">
        <v>0.47849999999999998</v>
      </c>
      <c r="O169">
        <v>0.4788</v>
      </c>
      <c r="P169">
        <v>10000</v>
      </c>
      <c r="Q169">
        <v>3877</v>
      </c>
      <c r="R169">
        <v>6123</v>
      </c>
      <c r="S169">
        <v>2.58</v>
      </c>
      <c r="T169">
        <v>1.58</v>
      </c>
      <c r="W169">
        <v>3784</v>
      </c>
      <c r="X169">
        <v>0</v>
      </c>
      <c r="Y169">
        <v>62.16</v>
      </c>
      <c r="Z169">
        <v>2.4</v>
      </c>
      <c r="AB169">
        <v>358560000</v>
      </c>
      <c r="AC169">
        <v>135679104</v>
      </c>
      <c r="AD169">
        <v>358560000</v>
      </c>
      <c r="AE169">
        <v>135679104</v>
      </c>
      <c r="AG169">
        <v>97.6</v>
      </c>
      <c r="AH169">
        <v>37.840000000000003</v>
      </c>
      <c r="AI169">
        <v>1</v>
      </c>
      <c r="AJ169">
        <v>2.5793140000000001</v>
      </c>
      <c r="AK169">
        <v>0.1812</v>
      </c>
      <c r="AL169">
        <v>13.57</v>
      </c>
      <c r="AM169">
        <v>13568</v>
      </c>
      <c r="AN169">
        <v>1.4496</v>
      </c>
      <c r="AO169">
        <v>30</v>
      </c>
      <c r="AP169">
        <v>21.87</v>
      </c>
      <c r="AQ169">
        <v>0.72</v>
      </c>
      <c r="AR169">
        <v>-6.07</v>
      </c>
      <c r="AS169">
        <v>1.97</v>
      </c>
      <c r="AT169">
        <v>22.16</v>
      </c>
      <c r="AU169">
        <v>6666.69</v>
      </c>
      <c r="AV169">
        <v>35.81</v>
      </c>
      <c r="AW169">
        <v>16.55</v>
      </c>
      <c r="AX169">
        <v>14.41</v>
      </c>
      <c r="AY169">
        <v>15.469851999999999</v>
      </c>
      <c r="AZ169">
        <v>88.053467999999995</v>
      </c>
      <c r="BA169">
        <v>-16.245518000000001</v>
      </c>
      <c r="BB169">
        <v>-1.5734520000000001</v>
      </c>
      <c r="BC169">
        <v>16.245518000000001</v>
      </c>
      <c r="BD169">
        <v>23.583335000000002</v>
      </c>
      <c r="BE169">
        <v>173.25878</v>
      </c>
      <c r="BF169">
        <v>-12.678280000000001</v>
      </c>
      <c r="BG169">
        <v>4.5220120000000001</v>
      </c>
      <c r="BH169">
        <v>12.678280000000001</v>
      </c>
    </row>
    <row r="170" spans="1:60" x14ac:dyDescent="0.25">
      <c r="A170" t="s">
        <v>389</v>
      </c>
      <c r="B170" t="s">
        <v>390</v>
      </c>
      <c r="C170">
        <v>12</v>
      </c>
      <c r="D170" t="s">
        <v>360</v>
      </c>
      <c r="E170" cm="1">
        <f t="array" ref="E170">_xlfn.SWITCH(D170,"QPSK",0.1,"16QAM",0.25,"64QAM",0.5,"256QAM",0.8,"1024QAM",1,"")</f>
        <v>0.5</v>
      </c>
      <c r="F170" cm="1">
        <f t="array" ref="F170">_xlfn.SWITCH(D170,"QPSK",0.05,"16QAM",0.15,"64QAM",0.4,"256QAM",0.75,"1024QAM",1,"")</f>
        <v>0.4</v>
      </c>
      <c r="G170" t="s">
        <v>61</v>
      </c>
      <c r="H170">
        <v>16</v>
      </c>
      <c r="I170" t="s">
        <v>62</v>
      </c>
      <c r="J170">
        <v>2</v>
      </c>
      <c r="K170">
        <v>2</v>
      </c>
      <c r="L170" t="s">
        <v>63</v>
      </c>
      <c r="M170">
        <v>2</v>
      </c>
      <c r="N170">
        <v>0.47849999999999998</v>
      </c>
      <c r="O170">
        <v>0.4788</v>
      </c>
      <c r="P170">
        <v>5000</v>
      </c>
      <c r="Q170">
        <v>2215</v>
      </c>
      <c r="R170">
        <v>2785</v>
      </c>
      <c r="S170">
        <v>2.2599999999999998</v>
      </c>
      <c r="T170">
        <v>125.73</v>
      </c>
      <c r="W170">
        <v>2210</v>
      </c>
      <c r="X170">
        <v>0</v>
      </c>
      <c r="Y170">
        <v>55.8</v>
      </c>
      <c r="Z170">
        <v>0.23</v>
      </c>
      <c r="AB170">
        <v>179280000</v>
      </c>
      <c r="AC170">
        <v>79241760</v>
      </c>
      <c r="AD170">
        <v>179280000</v>
      </c>
      <c r="AE170">
        <v>79241760</v>
      </c>
      <c r="AF170">
        <v>374400000</v>
      </c>
      <c r="AG170">
        <v>99.77</v>
      </c>
      <c r="AH170">
        <v>44.2</v>
      </c>
      <c r="AI170">
        <v>1</v>
      </c>
      <c r="AJ170">
        <v>2.257336</v>
      </c>
      <c r="AK170">
        <v>0.2117</v>
      </c>
      <c r="AL170">
        <v>15.85</v>
      </c>
      <c r="AM170">
        <v>15848</v>
      </c>
      <c r="AN170">
        <v>1.6932</v>
      </c>
      <c r="AO170">
        <v>30</v>
      </c>
      <c r="AP170">
        <v>21.87</v>
      </c>
      <c r="AQ170">
        <v>0.72</v>
      </c>
      <c r="AR170">
        <v>-5.93</v>
      </c>
      <c r="AS170">
        <v>1.97</v>
      </c>
      <c r="AT170">
        <v>22.65</v>
      </c>
      <c r="AU170">
        <v>6666.69</v>
      </c>
      <c r="AV170">
        <v>35.81</v>
      </c>
      <c r="AW170">
        <v>16.87</v>
      </c>
      <c r="AX170">
        <v>14.67</v>
      </c>
      <c r="AY170">
        <v>14.675497999999999</v>
      </c>
      <c r="AZ170">
        <v>86.189171999999999</v>
      </c>
      <c r="BA170">
        <v>-16.701108000000001</v>
      </c>
      <c r="BB170">
        <v>-1.864932</v>
      </c>
      <c r="BC170">
        <v>16.701108000000001</v>
      </c>
      <c r="BD170">
        <v>22.019558</v>
      </c>
      <c r="BE170">
        <v>167.773166</v>
      </c>
      <c r="BF170">
        <v>-13.245903999999999</v>
      </c>
      <c r="BG170">
        <v>4.2922520000000004</v>
      </c>
      <c r="BH170">
        <v>13.245903999999999</v>
      </c>
    </row>
    <row r="171" spans="1:60" x14ac:dyDescent="0.25">
      <c r="A171" t="s">
        <v>391</v>
      </c>
      <c r="B171" t="s">
        <v>392</v>
      </c>
      <c r="C171">
        <v>12</v>
      </c>
      <c r="D171" t="s">
        <v>360</v>
      </c>
      <c r="E171" cm="1">
        <f t="array" ref="E171">_xlfn.SWITCH(D171,"QPSK",0.1,"16QAM",0.25,"64QAM",0.5,"256QAM",0.8,"1024QAM",1,"")</f>
        <v>0.5</v>
      </c>
      <c r="F171" cm="1">
        <f t="array" ref="F171">_xlfn.SWITCH(D171,"QPSK",0.05,"16QAM",0.15,"64QAM",0.4,"256QAM",0.75,"1024QAM",1,"")</f>
        <v>0.4</v>
      </c>
      <c r="G171" t="s">
        <v>61</v>
      </c>
      <c r="H171">
        <v>1</v>
      </c>
      <c r="I171" t="s">
        <v>62</v>
      </c>
      <c r="J171">
        <v>2</v>
      </c>
      <c r="K171">
        <v>2</v>
      </c>
      <c r="L171" t="s">
        <v>63</v>
      </c>
      <c r="M171">
        <v>2</v>
      </c>
      <c r="N171">
        <v>0.47849999999999998</v>
      </c>
      <c r="O171">
        <v>0.4788</v>
      </c>
      <c r="P171">
        <v>10000</v>
      </c>
      <c r="Q171">
        <v>4463</v>
      </c>
      <c r="R171">
        <v>5537</v>
      </c>
      <c r="S171">
        <v>2.2400000000000002</v>
      </c>
      <c r="T171">
        <v>1.24</v>
      </c>
      <c r="W171">
        <v>4435</v>
      </c>
      <c r="X171">
        <v>0</v>
      </c>
      <c r="Y171">
        <v>55.65</v>
      </c>
      <c r="Z171">
        <v>0.63</v>
      </c>
      <c r="AB171">
        <v>358560000</v>
      </c>
      <c r="AC171">
        <v>159021360</v>
      </c>
      <c r="AD171">
        <v>358560000</v>
      </c>
      <c r="AE171">
        <v>159021360</v>
      </c>
      <c r="AG171">
        <v>99.37</v>
      </c>
      <c r="AH171">
        <v>44.35</v>
      </c>
      <c r="AI171">
        <v>1</v>
      </c>
      <c r="AJ171">
        <v>2.2406450000000002</v>
      </c>
      <c r="AK171">
        <v>0.21240000000000001</v>
      </c>
      <c r="AL171">
        <v>15.9</v>
      </c>
      <c r="AM171">
        <v>15902</v>
      </c>
      <c r="AN171">
        <v>1.6989000000000001</v>
      </c>
      <c r="AO171">
        <v>30</v>
      </c>
      <c r="AP171">
        <v>21.87</v>
      </c>
      <c r="AQ171">
        <v>0.72</v>
      </c>
      <c r="AR171">
        <v>-6.07</v>
      </c>
      <c r="AS171">
        <v>1.96</v>
      </c>
      <c r="AT171">
        <v>22.26</v>
      </c>
      <c r="AU171">
        <v>6666.69</v>
      </c>
      <c r="AV171">
        <v>35.81</v>
      </c>
      <c r="AW171">
        <v>16.84</v>
      </c>
      <c r="AX171">
        <v>14.63</v>
      </c>
      <c r="AY171">
        <v>14.745208</v>
      </c>
      <c r="AZ171">
        <v>87.015681000000001</v>
      </c>
      <c r="BA171">
        <v>-16.663665000000002</v>
      </c>
      <c r="BB171">
        <v>-1.8312710000000001</v>
      </c>
      <c r="BC171">
        <v>16.663665000000002</v>
      </c>
      <c r="BD171">
        <v>22.272967000000001</v>
      </c>
      <c r="BE171">
        <v>169.41721799999999</v>
      </c>
      <c r="BF171">
        <v>-13.156917999999999</v>
      </c>
      <c r="BG171">
        <v>4.3819900000000001</v>
      </c>
      <c r="BH171">
        <v>13.156917999999999</v>
      </c>
    </row>
    <row r="172" spans="1:60" x14ac:dyDescent="0.25">
      <c r="A172" t="s">
        <v>393</v>
      </c>
      <c r="B172" t="s">
        <v>394</v>
      </c>
      <c r="C172">
        <v>12</v>
      </c>
      <c r="D172" t="s">
        <v>360</v>
      </c>
      <c r="E172" cm="1">
        <f t="array" ref="E172">_xlfn.SWITCH(D172,"QPSK",0.1,"16QAM",0.25,"64QAM",0.5,"256QAM",0.8,"1024QAM",1,"")</f>
        <v>0.5</v>
      </c>
      <c r="F172" cm="1">
        <f t="array" ref="F172">_xlfn.SWITCH(D172,"QPSK",0.05,"16QAM",0.15,"64QAM",0.4,"256QAM",0.75,"1024QAM",1,"")</f>
        <v>0.4</v>
      </c>
      <c r="G172" t="s">
        <v>61</v>
      </c>
      <c r="H172">
        <v>1</v>
      </c>
      <c r="I172" t="s">
        <v>62</v>
      </c>
      <c r="J172">
        <v>2</v>
      </c>
      <c r="K172">
        <v>2</v>
      </c>
      <c r="L172" t="s">
        <v>63</v>
      </c>
      <c r="M172">
        <v>2</v>
      </c>
      <c r="N172">
        <v>0.47849999999999998</v>
      </c>
      <c r="O172">
        <v>0.4788</v>
      </c>
      <c r="P172">
        <v>5000</v>
      </c>
      <c r="Q172">
        <v>2236</v>
      </c>
      <c r="R172">
        <v>2764</v>
      </c>
      <c r="S172">
        <v>2.2400000000000002</v>
      </c>
      <c r="T172">
        <v>123.61</v>
      </c>
      <c r="W172">
        <v>2229</v>
      </c>
      <c r="X172">
        <v>7</v>
      </c>
      <c r="Y172">
        <v>55.42</v>
      </c>
      <c r="Z172">
        <v>0.31</v>
      </c>
      <c r="AB172">
        <v>179280000</v>
      </c>
      <c r="AC172">
        <v>79923024</v>
      </c>
      <c r="AD172">
        <v>179280000</v>
      </c>
      <c r="AE172">
        <v>79923024</v>
      </c>
      <c r="AF172">
        <v>374400000</v>
      </c>
      <c r="AG172">
        <v>99.69</v>
      </c>
      <c r="AH172">
        <v>44.58</v>
      </c>
      <c r="AI172">
        <v>1</v>
      </c>
      <c r="AJ172">
        <v>2.2361360000000001</v>
      </c>
      <c r="AK172">
        <v>0.2135</v>
      </c>
      <c r="AL172">
        <v>15.98</v>
      </c>
      <c r="AM172">
        <v>15985</v>
      </c>
      <c r="AN172">
        <v>1.7078</v>
      </c>
      <c r="AO172">
        <v>30</v>
      </c>
      <c r="AP172">
        <v>21.87</v>
      </c>
      <c r="AQ172">
        <v>0.72</v>
      </c>
      <c r="AR172">
        <v>-5.93</v>
      </c>
      <c r="AS172">
        <v>1.97</v>
      </c>
      <c r="AT172">
        <v>22.29</v>
      </c>
      <c r="AU172">
        <v>6666.69</v>
      </c>
      <c r="AV172">
        <v>35.81</v>
      </c>
      <c r="AW172">
        <v>16.87</v>
      </c>
      <c r="AX172">
        <v>14.67</v>
      </c>
      <c r="AY172">
        <v>14.680759999999999</v>
      </c>
      <c r="AZ172">
        <v>86.441789999999997</v>
      </c>
      <c r="BA172">
        <v>-16.698238</v>
      </c>
      <c r="BB172">
        <v>-1.8469279999999999</v>
      </c>
      <c r="BC172">
        <v>16.698238</v>
      </c>
      <c r="BD172">
        <v>22.023246</v>
      </c>
      <c r="BE172">
        <v>168.16874999999999</v>
      </c>
      <c r="BF172">
        <v>-13.243614000000001</v>
      </c>
      <c r="BG172">
        <v>4.3170080000000004</v>
      </c>
      <c r="BH172">
        <v>13.243614000000001</v>
      </c>
    </row>
    <row r="173" spans="1:60" x14ac:dyDescent="0.25">
      <c r="A173" t="s">
        <v>395</v>
      </c>
      <c r="B173" t="s">
        <v>396</v>
      </c>
      <c r="C173">
        <v>12</v>
      </c>
      <c r="D173" t="s">
        <v>360</v>
      </c>
      <c r="E173" cm="1">
        <f t="array" ref="E173">_xlfn.SWITCH(D173,"QPSK",0.1,"16QAM",0.25,"64QAM",0.5,"256QAM",0.8,"1024QAM",1,"")</f>
        <v>0.5</v>
      </c>
      <c r="F173" cm="1">
        <f t="array" ref="F173">_xlfn.SWITCH(D173,"QPSK",0.05,"16QAM",0.15,"64QAM",0.4,"256QAM",0.75,"1024QAM",1,"")</f>
        <v>0.4</v>
      </c>
      <c r="G173" t="s">
        <v>61</v>
      </c>
      <c r="H173">
        <v>4</v>
      </c>
      <c r="I173" t="s">
        <v>62</v>
      </c>
      <c r="J173">
        <v>2</v>
      </c>
      <c r="K173">
        <v>2</v>
      </c>
      <c r="L173" t="s">
        <v>63</v>
      </c>
      <c r="M173">
        <v>2</v>
      </c>
      <c r="N173">
        <v>0.47849999999999998</v>
      </c>
      <c r="O173">
        <v>0.4788</v>
      </c>
      <c r="P173">
        <v>10000</v>
      </c>
      <c r="Q173">
        <v>4447</v>
      </c>
      <c r="R173">
        <v>5553</v>
      </c>
      <c r="S173">
        <v>2.25</v>
      </c>
      <c r="T173">
        <v>1.25</v>
      </c>
      <c r="W173">
        <v>4425</v>
      </c>
      <c r="X173">
        <v>0</v>
      </c>
      <c r="Y173">
        <v>55.75</v>
      </c>
      <c r="Z173">
        <v>0.49</v>
      </c>
      <c r="AB173">
        <v>358560000</v>
      </c>
      <c r="AC173">
        <v>158662800</v>
      </c>
      <c r="AD173">
        <v>358560000</v>
      </c>
      <c r="AE173">
        <v>158662800</v>
      </c>
      <c r="AG173">
        <v>99.51</v>
      </c>
      <c r="AH173">
        <v>44.25</v>
      </c>
      <c r="AI173">
        <v>1</v>
      </c>
      <c r="AJ173">
        <v>2.248707</v>
      </c>
      <c r="AK173">
        <v>0.21190000000000001</v>
      </c>
      <c r="AL173">
        <v>15.87</v>
      </c>
      <c r="AM173">
        <v>15866</v>
      </c>
      <c r="AN173">
        <v>1.6951000000000001</v>
      </c>
      <c r="AO173">
        <v>30</v>
      </c>
      <c r="AP173">
        <v>21.87</v>
      </c>
      <c r="AQ173">
        <v>0.72</v>
      </c>
      <c r="AR173">
        <v>-6.07</v>
      </c>
      <c r="AS173">
        <v>1.96</v>
      </c>
      <c r="AT173">
        <v>22.7</v>
      </c>
      <c r="AU173">
        <v>6666.69</v>
      </c>
      <c r="AV173">
        <v>35.81</v>
      </c>
      <c r="AW173">
        <v>16.84</v>
      </c>
      <c r="AX173">
        <v>14.63</v>
      </c>
      <c r="AY173">
        <v>14.74338</v>
      </c>
      <c r="AZ173">
        <v>86.835238000000004</v>
      </c>
      <c r="BA173">
        <v>-16.664935</v>
      </c>
      <c r="BB173">
        <v>-1.8489009999999999</v>
      </c>
      <c r="BC173">
        <v>16.664935</v>
      </c>
      <c r="BD173">
        <v>22.275756000000001</v>
      </c>
      <c r="BE173">
        <v>169.31554299999999</v>
      </c>
      <c r="BF173">
        <v>-13.155662</v>
      </c>
      <c r="BG173">
        <v>4.3774499999999996</v>
      </c>
      <c r="BH173">
        <v>13.155662</v>
      </c>
    </row>
    <row r="174" spans="1:60" x14ac:dyDescent="0.25">
      <c r="A174" t="s">
        <v>397</v>
      </c>
      <c r="B174" t="s">
        <v>398</v>
      </c>
      <c r="C174">
        <v>12</v>
      </c>
      <c r="D174" t="s">
        <v>360</v>
      </c>
      <c r="E174" cm="1">
        <f t="array" ref="E174">_xlfn.SWITCH(D174,"QPSK",0.1,"16QAM",0.25,"64QAM",0.5,"256QAM",0.8,"1024QAM",1,"")</f>
        <v>0.5</v>
      </c>
      <c r="F174" cm="1">
        <f t="array" ref="F174">_xlfn.SWITCH(D174,"QPSK",0.05,"16QAM",0.15,"64QAM",0.4,"256QAM",0.75,"1024QAM",1,"")</f>
        <v>0.4</v>
      </c>
      <c r="G174" t="s">
        <v>61</v>
      </c>
      <c r="H174">
        <v>4</v>
      </c>
      <c r="I174" t="s">
        <v>62</v>
      </c>
      <c r="J174">
        <v>2</v>
      </c>
      <c r="K174">
        <v>2</v>
      </c>
      <c r="L174" t="s">
        <v>63</v>
      </c>
      <c r="M174">
        <v>2</v>
      </c>
      <c r="N174">
        <v>0.47849999999999998</v>
      </c>
      <c r="O174">
        <v>0.4788</v>
      </c>
      <c r="P174">
        <v>5000</v>
      </c>
      <c r="Q174">
        <v>2231</v>
      </c>
      <c r="R174">
        <v>2769</v>
      </c>
      <c r="S174">
        <v>2.2400000000000002</v>
      </c>
      <c r="T174">
        <v>124.11</v>
      </c>
      <c r="W174">
        <v>2228</v>
      </c>
      <c r="X174">
        <v>1</v>
      </c>
      <c r="Y174">
        <v>55.44</v>
      </c>
      <c r="Z174">
        <v>0.13</v>
      </c>
      <c r="AB174">
        <v>179280000</v>
      </c>
      <c r="AC174">
        <v>79887168</v>
      </c>
      <c r="AD174">
        <v>179280000</v>
      </c>
      <c r="AE174">
        <v>79887168</v>
      </c>
      <c r="AF174">
        <v>374400000</v>
      </c>
      <c r="AG174">
        <v>99.87</v>
      </c>
      <c r="AH174">
        <v>44.56</v>
      </c>
      <c r="AI174">
        <v>1</v>
      </c>
      <c r="AJ174">
        <v>2.2411469999999998</v>
      </c>
      <c r="AK174">
        <v>0.21340000000000001</v>
      </c>
      <c r="AL174">
        <v>15.98</v>
      </c>
      <c r="AM174">
        <v>15977</v>
      </c>
      <c r="AN174">
        <v>1.7070000000000001</v>
      </c>
      <c r="AO174">
        <v>30</v>
      </c>
      <c r="AP174">
        <v>21.87</v>
      </c>
      <c r="AQ174">
        <v>0.72</v>
      </c>
      <c r="AR174">
        <v>-5.93</v>
      </c>
      <c r="AS174">
        <v>1.97</v>
      </c>
      <c r="AT174">
        <v>21.94</v>
      </c>
      <c r="AU174">
        <v>6666.69</v>
      </c>
      <c r="AV174">
        <v>35.81</v>
      </c>
      <c r="AW174">
        <v>16.87</v>
      </c>
      <c r="AX174">
        <v>14.66</v>
      </c>
      <c r="AY174">
        <v>14.681842</v>
      </c>
      <c r="AZ174">
        <v>86.879818</v>
      </c>
      <c r="BA174">
        <v>-16.697564</v>
      </c>
      <c r="BB174">
        <v>-1.814074</v>
      </c>
      <c r="BC174">
        <v>16.697564</v>
      </c>
      <c r="BD174">
        <v>22.025611999999999</v>
      </c>
      <c r="BE174">
        <v>168.28399400000001</v>
      </c>
      <c r="BF174">
        <v>-13.242900000000001</v>
      </c>
      <c r="BG174">
        <v>4.3197939999999999</v>
      </c>
      <c r="BH174">
        <v>13.242900000000001</v>
      </c>
    </row>
    <row r="175" spans="1:60" x14ac:dyDescent="0.25">
      <c r="A175" t="s">
        <v>399</v>
      </c>
      <c r="B175" t="s">
        <v>400</v>
      </c>
      <c r="C175">
        <v>12</v>
      </c>
      <c r="D175" t="s">
        <v>360</v>
      </c>
      <c r="E175" cm="1">
        <f t="array" ref="E175">_xlfn.SWITCH(D175,"QPSK",0.1,"16QAM",0.25,"64QAM",0.5,"256QAM",0.8,"1024QAM",1,"")</f>
        <v>0.5</v>
      </c>
      <c r="F175" cm="1">
        <f t="array" ref="F175">_xlfn.SWITCH(D175,"QPSK",0.05,"16QAM",0.15,"64QAM",0.4,"256QAM",0.75,"1024QAM",1,"")</f>
        <v>0.4</v>
      </c>
      <c r="G175" t="s">
        <v>61</v>
      </c>
      <c r="H175">
        <v>8</v>
      </c>
      <c r="I175" t="s">
        <v>62</v>
      </c>
      <c r="J175">
        <v>2</v>
      </c>
      <c r="K175">
        <v>2</v>
      </c>
      <c r="L175" t="s">
        <v>63</v>
      </c>
      <c r="M175">
        <v>2</v>
      </c>
      <c r="N175">
        <v>0.47849999999999998</v>
      </c>
      <c r="O175">
        <v>0.4788</v>
      </c>
      <c r="P175">
        <v>10000</v>
      </c>
      <c r="Q175">
        <v>4434</v>
      </c>
      <c r="R175">
        <v>5566</v>
      </c>
      <c r="S175">
        <v>2.2599999999999998</v>
      </c>
      <c r="T175">
        <v>1.26</v>
      </c>
      <c r="W175">
        <v>4417</v>
      </c>
      <c r="X175">
        <v>0</v>
      </c>
      <c r="Y175">
        <v>55.83</v>
      </c>
      <c r="Z175">
        <v>0.38</v>
      </c>
      <c r="AB175">
        <v>358560000</v>
      </c>
      <c r="AC175">
        <v>158375952</v>
      </c>
      <c r="AD175">
        <v>358560000</v>
      </c>
      <c r="AE175">
        <v>158375952</v>
      </c>
      <c r="AG175">
        <v>99.62</v>
      </c>
      <c r="AH175">
        <v>44.17</v>
      </c>
      <c r="AI175">
        <v>1</v>
      </c>
      <c r="AJ175">
        <v>2.2553000000000001</v>
      </c>
      <c r="AK175">
        <v>0.21149999999999999</v>
      </c>
      <c r="AL175">
        <v>15.84</v>
      </c>
      <c r="AM175">
        <v>15838</v>
      </c>
      <c r="AN175">
        <v>1.6920999999999999</v>
      </c>
      <c r="AO175">
        <v>30</v>
      </c>
      <c r="AP175">
        <v>21.87</v>
      </c>
      <c r="AQ175">
        <v>0.72</v>
      </c>
      <c r="AR175">
        <v>-6.07</v>
      </c>
      <c r="AS175">
        <v>1.96</v>
      </c>
      <c r="AT175">
        <v>22.53</v>
      </c>
      <c r="AU175">
        <v>6666.69</v>
      </c>
      <c r="AV175">
        <v>35.81</v>
      </c>
      <c r="AW175">
        <v>16.84</v>
      </c>
      <c r="AX175">
        <v>14.64</v>
      </c>
      <c r="AY175">
        <v>14.737628000000001</v>
      </c>
      <c r="AZ175">
        <v>86.266627</v>
      </c>
      <c r="BA175">
        <v>-16.668116999999999</v>
      </c>
      <c r="BB175">
        <v>-1.8945860000000001</v>
      </c>
      <c r="BC175">
        <v>16.668116999999999</v>
      </c>
      <c r="BD175">
        <v>22.262540999999999</v>
      </c>
      <c r="BE175">
        <v>169.16825499999999</v>
      </c>
      <c r="BF175">
        <v>-13.160788999999999</v>
      </c>
      <c r="BG175">
        <v>4.367934</v>
      </c>
      <c r="BH175">
        <v>13.160788999999999</v>
      </c>
    </row>
    <row r="176" spans="1:60" x14ac:dyDescent="0.25">
      <c r="A176" t="s">
        <v>401</v>
      </c>
      <c r="B176" t="s">
        <v>402</v>
      </c>
      <c r="C176">
        <v>14</v>
      </c>
      <c r="D176" t="s">
        <v>360</v>
      </c>
      <c r="E176" cm="1">
        <f t="array" ref="E176">_xlfn.SWITCH(D176,"QPSK",0.1,"16QAM",0.25,"64QAM",0.5,"256QAM",0.8,"1024QAM",1,"")</f>
        <v>0.5</v>
      </c>
      <c r="F176" cm="1">
        <f t="array" ref="F176">_xlfn.SWITCH(D176,"QPSK",0.05,"16QAM",0.15,"64QAM",0.4,"256QAM",0.75,"1024QAM",1,"")</f>
        <v>0.4</v>
      </c>
      <c r="G176" t="s">
        <v>61</v>
      </c>
      <c r="H176">
        <v>16</v>
      </c>
      <c r="I176" t="s">
        <v>62</v>
      </c>
      <c r="J176">
        <v>2</v>
      </c>
      <c r="K176">
        <v>2</v>
      </c>
      <c r="L176" t="s">
        <v>63</v>
      </c>
      <c r="M176">
        <v>2</v>
      </c>
      <c r="N176">
        <v>0.47849999999999998</v>
      </c>
      <c r="O176">
        <v>0.4788</v>
      </c>
      <c r="P176">
        <v>5000</v>
      </c>
      <c r="Q176">
        <v>2487</v>
      </c>
      <c r="R176">
        <v>2513</v>
      </c>
      <c r="S176">
        <v>2.0099999999999998</v>
      </c>
      <c r="T176">
        <v>101.05</v>
      </c>
      <c r="W176">
        <v>2476</v>
      </c>
      <c r="X176">
        <v>0</v>
      </c>
      <c r="Y176">
        <v>50.48</v>
      </c>
      <c r="Z176">
        <v>0.44</v>
      </c>
      <c r="AB176">
        <v>179280000</v>
      </c>
      <c r="AC176">
        <v>88779456</v>
      </c>
      <c r="AD176">
        <v>179280000</v>
      </c>
      <c r="AE176">
        <v>88779456</v>
      </c>
      <c r="AF176">
        <v>374400000</v>
      </c>
      <c r="AG176">
        <v>99.56</v>
      </c>
      <c r="AH176">
        <v>49.52</v>
      </c>
      <c r="AI176">
        <v>1</v>
      </c>
      <c r="AJ176">
        <v>2.0104540000000002</v>
      </c>
      <c r="AK176">
        <v>0.23710000000000001</v>
      </c>
      <c r="AL176">
        <v>17.760000000000002</v>
      </c>
      <c r="AM176">
        <v>17756</v>
      </c>
      <c r="AN176">
        <v>1.897</v>
      </c>
      <c r="AO176">
        <v>30</v>
      </c>
      <c r="AP176">
        <v>21.87</v>
      </c>
      <c r="AQ176">
        <v>0.72</v>
      </c>
      <c r="AR176">
        <v>-5.94</v>
      </c>
      <c r="AS176">
        <v>1.96</v>
      </c>
      <c r="AT176">
        <v>22.66</v>
      </c>
      <c r="AU176">
        <v>6666.69</v>
      </c>
      <c r="AV176">
        <v>35.81</v>
      </c>
      <c r="AW176">
        <v>17.309999999999999</v>
      </c>
      <c r="AX176">
        <v>14.88</v>
      </c>
      <c r="AY176">
        <v>13.831056</v>
      </c>
      <c r="AZ176">
        <v>81.051571999999993</v>
      </c>
      <c r="BA176">
        <v>-17.221893999999999</v>
      </c>
      <c r="BB176">
        <v>-2.412868</v>
      </c>
      <c r="BC176">
        <v>17.221893999999999</v>
      </c>
      <c r="BD176">
        <v>20.713999999999999</v>
      </c>
      <c r="BE176">
        <v>165.05756</v>
      </c>
      <c r="BF176">
        <v>-13.773126</v>
      </c>
      <c r="BG176">
        <v>4.14574</v>
      </c>
      <c r="BH176">
        <v>13.773126</v>
      </c>
    </row>
    <row r="177" spans="1:60" x14ac:dyDescent="0.25">
      <c r="A177" t="s">
        <v>403</v>
      </c>
      <c r="B177" t="s">
        <v>404</v>
      </c>
      <c r="C177">
        <v>14</v>
      </c>
      <c r="D177" t="s">
        <v>360</v>
      </c>
      <c r="E177" cm="1">
        <f t="array" ref="E177">_xlfn.SWITCH(D177,"QPSK",0.1,"16QAM",0.25,"64QAM",0.5,"256QAM",0.8,"1024QAM",1,"")</f>
        <v>0.5</v>
      </c>
      <c r="F177" cm="1">
        <f t="array" ref="F177">_xlfn.SWITCH(D177,"QPSK",0.05,"16QAM",0.15,"64QAM",0.4,"256QAM",0.75,"1024QAM",1,"")</f>
        <v>0.4</v>
      </c>
      <c r="G177" t="s">
        <v>61</v>
      </c>
      <c r="H177">
        <v>1</v>
      </c>
      <c r="I177" t="s">
        <v>62</v>
      </c>
      <c r="J177">
        <v>2</v>
      </c>
      <c r="K177">
        <v>2</v>
      </c>
      <c r="L177" t="s">
        <v>63</v>
      </c>
      <c r="M177">
        <v>2</v>
      </c>
      <c r="N177">
        <v>0.47849999999999998</v>
      </c>
      <c r="O177">
        <v>0.4788</v>
      </c>
      <c r="P177">
        <v>10000</v>
      </c>
      <c r="Q177">
        <v>4926</v>
      </c>
      <c r="R177">
        <v>5074</v>
      </c>
      <c r="S177">
        <v>2.0299999999999998</v>
      </c>
      <c r="T177">
        <v>1.03</v>
      </c>
      <c r="W177">
        <v>4919</v>
      </c>
      <c r="X177">
        <v>0</v>
      </c>
      <c r="Y177">
        <v>50.81</v>
      </c>
      <c r="Z177">
        <v>0.14000000000000001</v>
      </c>
      <c r="AB177">
        <v>358560000</v>
      </c>
      <c r="AC177">
        <v>176375664</v>
      </c>
      <c r="AD177">
        <v>358560000</v>
      </c>
      <c r="AE177">
        <v>176375664</v>
      </c>
      <c r="AG177">
        <v>99.86</v>
      </c>
      <c r="AH177">
        <v>49.19</v>
      </c>
      <c r="AI177">
        <v>1</v>
      </c>
      <c r="AJ177">
        <v>2.0300449999999999</v>
      </c>
      <c r="AK177">
        <v>0.23549999999999999</v>
      </c>
      <c r="AL177">
        <v>17.64</v>
      </c>
      <c r="AM177">
        <v>17638</v>
      </c>
      <c r="AN177">
        <v>1.8844000000000001</v>
      </c>
      <c r="AO177">
        <v>30</v>
      </c>
      <c r="AP177">
        <v>21.87</v>
      </c>
      <c r="AQ177">
        <v>0.72</v>
      </c>
      <c r="AR177">
        <v>-6.08</v>
      </c>
      <c r="AS177">
        <v>1.95</v>
      </c>
      <c r="AT177">
        <v>22.83</v>
      </c>
      <c r="AU177">
        <v>6666.69</v>
      </c>
      <c r="AV177">
        <v>35.81</v>
      </c>
      <c r="AW177">
        <v>17.28</v>
      </c>
      <c r="AX177">
        <v>14.88</v>
      </c>
      <c r="AY177">
        <v>13.892206</v>
      </c>
      <c r="AZ177">
        <v>80.622630000000001</v>
      </c>
      <c r="BA177">
        <v>-17.186313999999999</v>
      </c>
      <c r="BB177">
        <v>-2.5110039999999998</v>
      </c>
      <c r="BC177">
        <v>17.186313999999999</v>
      </c>
      <c r="BD177">
        <v>20.898304</v>
      </c>
      <c r="BE177">
        <v>164.44866500000001</v>
      </c>
      <c r="BF177">
        <v>-13.704160999999999</v>
      </c>
      <c r="BG177">
        <v>4.1268710000000004</v>
      </c>
      <c r="BH177">
        <v>13.704160999999999</v>
      </c>
    </row>
    <row r="178" spans="1:60" x14ac:dyDescent="0.25">
      <c r="A178" t="s">
        <v>405</v>
      </c>
      <c r="B178" t="s">
        <v>406</v>
      </c>
      <c r="C178">
        <v>14</v>
      </c>
      <c r="D178" t="s">
        <v>360</v>
      </c>
      <c r="E178" cm="1">
        <f t="array" ref="E178">_xlfn.SWITCH(D178,"QPSK",0.1,"16QAM",0.25,"64QAM",0.5,"256QAM",0.8,"1024QAM",1,"")</f>
        <v>0.5</v>
      </c>
      <c r="F178" cm="1">
        <f t="array" ref="F178">_xlfn.SWITCH(D178,"QPSK",0.05,"16QAM",0.15,"64QAM",0.4,"256QAM",0.75,"1024QAM",1,"")</f>
        <v>0.4</v>
      </c>
      <c r="G178" t="s">
        <v>61</v>
      </c>
      <c r="H178">
        <v>1</v>
      </c>
      <c r="I178" t="s">
        <v>62</v>
      </c>
      <c r="J178">
        <v>2</v>
      </c>
      <c r="K178">
        <v>2</v>
      </c>
      <c r="L178" t="s">
        <v>63</v>
      </c>
      <c r="M178">
        <v>2</v>
      </c>
      <c r="N178">
        <v>0.47849999999999998</v>
      </c>
      <c r="O178">
        <v>0.4788</v>
      </c>
      <c r="P178">
        <v>5000</v>
      </c>
      <c r="Q178">
        <v>2486</v>
      </c>
      <c r="R178">
        <v>2514</v>
      </c>
      <c r="S178">
        <v>2.0099999999999998</v>
      </c>
      <c r="T178">
        <v>101.13</v>
      </c>
      <c r="W178">
        <v>2486</v>
      </c>
      <c r="X178">
        <v>0</v>
      </c>
      <c r="Y178">
        <v>50.28</v>
      </c>
      <c r="Z178">
        <v>0</v>
      </c>
      <c r="AB178">
        <v>179280000</v>
      </c>
      <c r="AC178">
        <v>89138016</v>
      </c>
      <c r="AD178">
        <v>179280000</v>
      </c>
      <c r="AE178">
        <v>89138016</v>
      </c>
      <c r="AF178">
        <v>374400000</v>
      </c>
      <c r="AG178">
        <v>100</v>
      </c>
      <c r="AH178">
        <v>49.72</v>
      </c>
      <c r="AI178">
        <v>1</v>
      </c>
      <c r="AJ178">
        <v>2.011263</v>
      </c>
      <c r="AK178">
        <v>0.23810000000000001</v>
      </c>
      <c r="AL178">
        <v>17.829999999999998</v>
      </c>
      <c r="AM178">
        <v>17828</v>
      </c>
      <c r="AN178">
        <v>1.9047000000000001</v>
      </c>
      <c r="AO178">
        <v>30</v>
      </c>
      <c r="AP178">
        <v>21.87</v>
      </c>
      <c r="AQ178">
        <v>0.72</v>
      </c>
      <c r="AR178">
        <v>-5.94</v>
      </c>
      <c r="AS178">
        <v>1.96</v>
      </c>
      <c r="AT178">
        <v>22.7</v>
      </c>
      <c r="AU178">
        <v>6666.69</v>
      </c>
      <c r="AV178">
        <v>35.81</v>
      </c>
      <c r="AW178">
        <v>17.309999999999999</v>
      </c>
      <c r="AX178">
        <v>14.88</v>
      </c>
      <c r="AY178">
        <v>13.82952</v>
      </c>
      <c r="AZ178">
        <v>81.087016000000006</v>
      </c>
      <c r="BA178">
        <v>-17.222738</v>
      </c>
      <c r="BB178">
        <v>-2.4134199999999999</v>
      </c>
      <c r="BC178">
        <v>17.222738</v>
      </c>
      <c r="BD178">
        <v>20.710281999999999</v>
      </c>
      <c r="BE178">
        <v>164.92417599999999</v>
      </c>
      <c r="BF178">
        <v>-13.774281999999999</v>
      </c>
      <c r="BG178">
        <v>4.1389420000000001</v>
      </c>
      <c r="BH178">
        <v>13.774281999999999</v>
      </c>
    </row>
    <row r="179" spans="1:60" x14ac:dyDescent="0.25">
      <c r="A179" t="s">
        <v>407</v>
      </c>
      <c r="B179" t="s">
        <v>408</v>
      </c>
      <c r="C179">
        <v>14</v>
      </c>
      <c r="D179" t="s">
        <v>360</v>
      </c>
      <c r="E179" cm="1">
        <f t="array" ref="E179">_xlfn.SWITCH(D179,"QPSK",0.1,"16QAM",0.25,"64QAM",0.5,"256QAM",0.8,"1024QAM",1,"")</f>
        <v>0.5</v>
      </c>
      <c r="F179" cm="1">
        <f t="array" ref="F179">_xlfn.SWITCH(D179,"QPSK",0.05,"16QAM",0.15,"64QAM",0.4,"256QAM",0.75,"1024QAM",1,"")</f>
        <v>0.4</v>
      </c>
      <c r="G179" t="s">
        <v>61</v>
      </c>
      <c r="H179">
        <v>4</v>
      </c>
      <c r="I179" t="s">
        <v>62</v>
      </c>
      <c r="J179">
        <v>2</v>
      </c>
      <c r="K179">
        <v>2</v>
      </c>
      <c r="L179" t="s">
        <v>63</v>
      </c>
      <c r="M179">
        <v>2</v>
      </c>
      <c r="N179">
        <v>0.47849999999999998</v>
      </c>
      <c r="O179">
        <v>0.4788</v>
      </c>
      <c r="P179">
        <v>10000</v>
      </c>
      <c r="Q179">
        <v>4919</v>
      </c>
      <c r="R179">
        <v>5081</v>
      </c>
      <c r="S179">
        <v>2.0299999999999998</v>
      </c>
      <c r="T179">
        <v>1.03</v>
      </c>
      <c r="W179">
        <v>4916</v>
      </c>
      <c r="X179">
        <v>0</v>
      </c>
      <c r="Y179">
        <v>50.84</v>
      </c>
      <c r="Z179">
        <v>0.06</v>
      </c>
      <c r="AB179">
        <v>358560000</v>
      </c>
      <c r="AC179">
        <v>176268096</v>
      </c>
      <c r="AD179">
        <v>358560000</v>
      </c>
      <c r="AE179">
        <v>176268096</v>
      </c>
      <c r="AG179">
        <v>99.94</v>
      </c>
      <c r="AH179">
        <v>49.16</v>
      </c>
      <c r="AI179">
        <v>1</v>
      </c>
      <c r="AJ179">
        <v>2.032934</v>
      </c>
      <c r="AK179">
        <v>0.2354</v>
      </c>
      <c r="AL179">
        <v>17.63</v>
      </c>
      <c r="AM179">
        <v>17627</v>
      </c>
      <c r="AN179">
        <v>1.8832</v>
      </c>
      <c r="AO179">
        <v>30</v>
      </c>
      <c r="AP179">
        <v>21.87</v>
      </c>
      <c r="AQ179">
        <v>0.72</v>
      </c>
      <c r="AR179">
        <v>-6.08</v>
      </c>
      <c r="AS179">
        <v>1.95</v>
      </c>
      <c r="AT179">
        <v>22.93</v>
      </c>
      <c r="AU179">
        <v>6666.69</v>
      </c>
      <c r="AV179">
        <v>35.81</v>
      </c>
      <c r="AW179">
        <v>17.28</v>
      </c>
      <c r="AX179">
        <v>14.88</v>
      </c>
      <c r="AY179">
        <v>13.893179</v>
      </c>
      <c r="AZ179">
        <v>80.591797999999997</v>
      </c>
      <c r="BA179">
        <v>-17.185593000000001</v>
      </c>
      <c r="BB179">
        <v>-2.4983740000000001</v>
      </c>
      <c r="BC179">
        <v>17.185593000000001</v>
      </c>
      <c r="BD179">
        <v>20.909648000000001</v>
      </c>
      <c r="BE179">
        <v>165.26281</v>
      </c>
      <c r="BF179">
        <v>-13.699139000000001</v>
      </c>
      <c r="BG179">
        <v>4.1676489999999999</v>
      </c>
      <c r="BH179">
        <v>13.699139000000001</v>
      </c>
    </row>
    <row r="180" spans="1:60" x14ac:dyDescent="0.25">
      <c r="A180" t="s">
        <v>409</v>
      </c>
      <c r="B180" t="s">
        <v>410</v>
      </c>
      <c r="C180">
        <v>14</v>
      </c>
      <c r="D180" t="s">
        <v>360</v>
      </c>
      <c r="E180" cm="1">
        <f t="array" ref="E180">_xlfn.SWITCH(D180,"QPSK",0.1,"16QAM",0.25,"64QAM",0.5,"256QAM",0.8,"1024QAM",1,"")</f>
        <v>0.5</v>
      </c>
      <c r="F180" cm="1">
        <f t="array" ref="F180">_xlfn.SWITCH(D180,"QPSK",0.05,"16QAM",0.15,"64QAM",0.4,"256QAM",0.75,"1024QAM",1,"")</f>
        <v>0.4</v>
      </c>
      <c r="G180" t="s">
        <v>61</v>
      </c>
      <c r="H180">
        <v>4</v>
      </c>
      <c r="I180" t="s">
        <v>62</v>
      </c>
      <c r="J180">
        <v>2</v>
      </c>
      <c r="K180">
        <v>2</v>
      </c>
      <c r="L180" t="s">
        <v>63</v>
      </c>
      <c r="M180">
        <v>2</v>
      </c>
      <c r="N180">
        <v>0.47849999999999998</v>
      </c>
      <c r="O180">
        <v>0.4788</v>
      </c>
      <c r="P180">
        <v>5000</v>
      </c>
      <c r="Q180">
        <v>2488</v>
      </c>
      <c r="R180">
        <v>2512</v>
      </c>
      <c r="S180">
        <v>2.0099999999999998</v>
      </c>
      <c r="T180">
        <v>100.96</v>
      </c>
      <c r="W180">
        <v>2485</v>
      </c>
      <c r="X180">
        <v>0</v>
      </c>
      <c r="Y180">
        <v>50.3</v>
      </c>
      <c r="Z180">
        <v>0.12</v>
      </c>
      <c r="AB180">
        <v>179280000</v>
      </c>
      <c r="AC180">
        <v>89102160</v>
      </c>
      <c r="AD180">
        <v>179280000</v>
      </c>
      <c r="AE180">
        <v>89102160</v>
      </c>
      <c r="AF180">
        <v>374400000</v>
      </c>
      <c r="AG180">
        <v>99.88</v>
      </c>
      <c r="AH180">
        <v>49.7</v>
      </c>
      <c r="AI180">
        <v>1</v>
      </c>
      <c r="AJ180">
        <v>2.009646</v>
      </c>
      <c r="AK180">
        <v>0.23799999999999999</v>
      </c>
      <c r="AL180">
        <v>17.82</v>
      </c>
      <c r="AM180">
        <v>17820</v>
      </c>
      <c r="AN180">
        <v>1.9038999999999999</v>
      </c>
      <c r="AO180">
        <v>30</v>
      </c>
      <c r="AP180">
        <v>21.87</v>
      </c>
      <c r="AQ180">
        <v>0.72</v>
      </c>
      <c r="AR180">
        <v>-5.94</v>
      </c>
      <c r="AS180">
        <v>1.96</v>
      </c>
      <c r="AT180">
        <v>22.71</v>
      </c>
      <c r="AU180">
        <v>6666.69</v>
      </c>
      <c r="AV180">
        <v>35.81</v>
      </c>
      <c r="AW180">
        <v>17.32</v>
      </c>
      <c r="AX180">
        <v>14.88</v>
      </c>
      <c r="AY180">
        <v>13.826816000000001</v>
      </c>
      <c r="AZ180">
        <v>80.907008000000005</v>
      </c>
      <c r="BA180">
        <v>-17.223655999999998</v>
      </c>
      <c r="BB180">
        <v>-2.408118</v>
      </c>
      <c r="BC180">
        <v>17.223655999999998</v>
      </c>
      <c r="BD180">
        <v>20.710740000000001</v>
      </c>
      <c r="BE180">
        <v>163.79862199999999</v>
      </c>
      <c r="BF180">
        <v>-13.774236</v>
      </c>
      <c r="BG180">
        <v>4.083806</v>
      </c>
      <c r="BH180">
        <v>13.774236</v>
      </c>
    </row>
    <row r="181" spans="1:60" x14ac:dyDescent="0.25">
      <c r="A181" t="s">
        <v>411</v>
      </c>
      <c r="B181" t="s">
        <v>412</v>
      </c>
      <c r="C181">
        <v>14</v>
      </c>
      <c r="D181" t="s">
        <v>360</v>
      </c>
      <c r="E181" cm="1">
        <f t="array" ref="E181">_xlfn.SWITCH(D181,"QPSK",0.1,"16QAM",0.25,"64QAM",0.5,"256QAM",0.8,"1024QAM",1,"")</f>
        <v>0.5</v>
      </c>
      <c r="F181" cm="1">
        <f t="array" ref="F181">_xlfn.SWITCH(D181,"QPSK",0.05,"16QAM",0.15,"64QAM",0.4,"256QAM",0.75,"1024QAM",1,"")</f>
        <v>0.4</v>
      </c>
      <c r="G181" t="s">
        <v>61</v>
      </c>
      <c r="H181">
        <v>8</v>
      </c>
      <c r="I181" t="s">
        <v>62</v>
      </c>
      <c r="J181">
        <v>2</v>
      </c>
      <c r="K181">
        <v>2</v>
      </c>
      <c r="L181" t="s">
        <v>63</v>
      </c>
      <c r="M181">
        <v>2</v>
      </c>
      <c r="N181">
        <v>0.47849999999999998</v>
      </c>
      <c r="O181">
        <v>0.4788</v>
      </c>
      <c r="P181">
        <v>10000</v>
      </c>
      <c r="Q181">
        <v>4927</v>
      </c>
      <c r="R181">
        <v>5073</v>
      </c>
      <c r="S181">
        <v>2.0299999999999998</v>
      </c>
      <c r="T181">
        <v>1.03</v>
      </c>
      <c r="W181">
        <v>4919</v>
      </c>
      <c r="X181">
        <v>0</v>
      </c>
      <c r="Y181">
        <v>50.81</v>
      </c>
      <c r="Z181">
        <v>0.16</v>
      </c>
      <c r="AB181">
        <v>358560000</v>
      </c>
      <c r="AC181">
        <v>176375664</v>
      </c>
      <c r="AD181">
        <v>358560000</v>
      </c>
      <c r="AE181">
        <v>176375664</v>
      </c>
      <c r="AG181">
        <v>99.84</v>
      </c>
      <c r="AH181">
        <v>49.19</v>
      </c>
      <c r="AI181">
        <v>1</v>
      </c>
      <c r="AJ181">
        <v>2.029633</v>
      </c>
      <c r="AK181">
        <v>0.23549999999999999</v>
      </c>
      <c r="AL181">
        <v>17.64</v>
      </c>
      <c r="AM181">
        <v>17638</v>
      </c>
      <c r="AN181">
        <v>1.8844000000000001</v>
      </c>
      <c r="AO181">
        <v>30</v>
      </c>
      <c r="AP181">
        <v>21.87</v>
      </c>
      <c r="AQ181">
        <v>0.72</v>
      </c>
      <c r="AR181">
        <v>-6.08</v>
      </c>
      <c r="AS181">
        <v>1.95</v>
      </c>
      <c r="AT181">
        <v>22.91</v>
      </c>
      <c r="AU181">
        <v>6666.69</v>
      </c>
      <c r="AV181">
        <v>35.81</v>
      </c>
      <c r="AW181">
        <v>17.29</v>
      </c>
      <c r="AX181">
        <v>14.88</v>
      </c>
      <c r="AY181">
        <v>13.889970999999999</v>
      </c>
      <c r="AZ181">
        <v>80.649236000000002</v>
      </c>
      <c r="BA181">
        <v>-17.187294000000001</v>
      </c>
      <c r="BB181">
        <v>-2.4954040000000002</v>
      </c>
      <c r="BC181">
        <v>17.187294000000001</v>
      </c>
      <c r="BD181">
        <v>20.893971000000001</v>
      </c>
      <c r="BE181">
        <v>164.40493699999999</v>
      </c>
      <c r="BF181">
        <v>-13.70673</v>
      </c>
      <c r="BG181">
        <v>4.1203750000000001</v>
      </c>
      <c r="BH181">
        <v>13.70673</v>
      </c>
    </row>
    <row r="182" spans="1:60" x14ac:dyDescent="0.25">
      <c r="A182" t="s">
        <v>413</v>
      </c>
      <c r="B182" t="s">
        <v>414</v>
      </c>
      <c r="C182">
        <v>16</v>
      </c>
      <c r="D182" t="s">
        <v>360</v>
      </c>
      <c r="E182" cm="1">
        <f t="array" ref="E182">_xlfn.SWITCH(D182,"QPSK",0.1,"16QAM",0.25,"64QAM",0.5,"256QAM",0.8,"1024QAM",1,"")</f>
        <v>0.5</v>
      </c>
      <c r="F182" cm="1">
        <f t="array" ref="F182">_xlfn.SWITCH(D182,"QPSK",0.05,"16QAM",0.15,"64QAM",0.4,"256QAM",0.75,"1024QAM",1,"")</f>
        <v>0.4</v>
      </c>
      <c r="G182" t="s">
        <v>61</v>
      </c>
      <c r="H182">
        <v>16</v>
      </c>
      <c r="I182" t="s">
        <v>62</v>
      </c>
      <c r="J182">
        <v>2</v>
      </c>
      <c r="K182">
        <v>2</v>
      </c>
      <c r="L182" t="s">
        <v>63</v>
      </c>
      <c r="M182">
        <v>2</v>
      </c>
      <c r="N182">
        <v>0.47849999999999998</v>
      </c>
      <c r="O182">
        <v>0.4788</v>
      </c>
      <c r="P182">
        <v>5000</v>
      </c>
      <c r="Q182">
        <v>2802</v>
      </c>
      <c r="R182">
        <v>2198</v>
      </c>
      <c r="S182">
        <v>1.78</v>
      </c>
      <c r="T182">
        <v>78.44</v>
      </c>
      <c r="W182">
        <v>2802</v>
      </c>
      <c r="X182">
        <v>0</v>
      </c>
      <c r="Y182">
        <v>43.96</v>
      </c>
      <c r="Z182">
        <v>0</v>
      </c>
      <c r="AB182">
        <v>179280000</v>
      </c>
      <c r="AC182">
        <v>100468512</v>
      </c>
      <c r="AD182">
        <v>179280000</v>
      </c>
      <c r="AE182">
        <v>100468512</v>
      </c>
      <c r="AF182">
        <v>374400000</v>
      </c>
      <c r="AG182">
        <v>100</v>
      </c>
      <c r="AH182">
        <v>56.04</v>
      </c>
      <c r="AI182">
        <v>1</v>
      </c>
      <c r="AJ182">
        <v>1.78444</v>
      </c>
      <c r="AK182">
        <v>0.26829999999999998</v>
      </c>
      <c r="AL182">
        <v>20.09</v>
      </c>
      <c r="AM182">
        <v>20094</v>
      </c>
      <c r="AN182">
        <v>2.1467999999999998</v>
      </c>
      <c r="AO182">
        <v>30</v>
      </c>
      <c r="AP182">
        <v>21.87</v>
      </c>
      <c r="AQ182">
        <v>0.72</v>
      </c>
      <c r="AR182">
        <v>-5.95</v>
      </c>
      <c r="AS182">
        <v>1.95</v>
      </c>
      <c r="AT182">
        <v>22.9</v>
      </c>
      <c r="AU182">
        <v>6666.69</v>
      </c>
      <c r="AV182">
        <v>35.81</v>
      </c>
      <c r="AW182">
        <v>17.920000000000002</v>
      </c>
      <c r="AX182">
        <v>15.15</v>
      </c>
      <c r="AY182">
        <v>12.864834</v>
      </c>
      <c r="AZ182">
        <v>73.522195999999994</v>
      </c>
      <c r="BA182">
        <v>-17.870166000000001</v>
      </c>
      <c r="BB182">
        <v>-3.25624</v>
      </c>
      <c r="BC182">
        <v>17.870166000000001</v>
      </c>
      <c r="BD182">
        <v>19.420912000000001</v>
      </c>
      <c r="BE182">
        <v>160.33786799999999</v>
      </c>
      <c r="BF182">
        <v>-14.339653999999999</v>
      </c>
      <c r="BG182">
        <v>3.844516</v>
      </c>
      <c r="BH182">
        <v>14.339653999999999</v>
      </c>
    </row>
    <row r="183" spans="1:60" x14ac:dyDescent="0.25">
      <c r="A183" t="s">
        <v>415</v>
      </c>
      <c r="B183" t="s">
        <v>416</v>
      </c>
      <c r="C183">
        <v>16</v>
      </c>
      <c r="D183" t="s">
        <v>360</v>
      </c>
      <c r="E183" cm="1">
        <f t="array" ref="E183">_xlfn.SWITCH(D183,"QPSK",0.1,"16QAM",0.25,"64QAM",0.5,"256QAM",0.8,"1024QAM",1,"")</f>
        <v>0.5</v>
      </c>
      <c r="F183" cm="1">
        <f t="array" ref="F183">_xlfn.SWITCH(D183,"QPSK",0.05,"16QAM",0.15,"64QAM",0.4,"256QAM",0.75,"1024QAM",1,"")</f>
        <v>0.4</v>
      </c>
      <c r="G183" t="s">
        <v>61</v>
      </c>
      <c r="H183">
        <v>1</v>
      </c>
      <c r="I183" t="s">
        <v>62</v>
      </c>
      <c r="J183">
        <v>2</v>
      </c>
      <c r="K183">
        <v>2</v>
      </c>
      <c r="L183" t="s">
        <v>63</v>
      </c>
      <c r="M183">
        <v>2</v>
      </c>
      <c r="N183">
        <v>0.47849999999999998</v>
      </c>
      <c r="O183">
        <v>0.4788</v>
      </c>
      <c r="P183">
        <v>10000</v>
      </c>
      <c r="Q183">
        <v>5651</v>
      </c>
      <c r="R183">
        <v>4349</v>
      </c>
      <c r="S183">
        <v>1.77</v>
      </c>
      <c r="T183">
        <v>0.77</v>
      </c>
      <c r="W183">
        <v>5650</v>
      </c>
      <c r="X183">
        <v>0</v>
      </c>
      <c r="Y183">
        <v>43.5</v>
      </c>
      <c r="Z183">
        <v>0.02</v>
      </c>
      <c r="AB183">
        <v>358560000</v>
      </c>
      <c r="AC183">
        <v>202586400</v>
      </c>
      <c r="AD183">
        <v>358560000</v>
      </c>
      <c r="AE183">
        <v>202586400</v>
      </c>
      <c r="AG183">
        <v>99.98</v>
      </c>
      <c r="AH183">
        <v>56.5</v>
      </c>
      <c r="AI183">
        <v>1</v>
      </c>
      <c r="AJ183">
        <v>1.769598</v>
      </c>
      <c r="AK183">
        <v>0.27050000000000002</v>
      </c>
      <c r="AL183">
        <v>20.260000000000002</v>
      </c>
      <c r="AM183">
        <v>20259</v>
      </c>
      <c r="AN183">
        <v>2.1644000000000001</v>
      </c>
      <c r="AO183">
        <v>30</v>
      </c>
      <c r="AP183">
        <v>21.87</v>
      </c>
      <c r="AQ183">
        <v>0.72</v>
      </c>
      <c r="AR183">
        <v>-6.09</v>
      </c>
      <c r="AS183">
        <v>1.94</v>
      </c>
      <c r="AT183">
        <v>23.39</v>
      </c>
      <c r="AU183">
        <v>6666.69</v>
      </c>
      <c r="AV183">
        <v>35.81</v>
      </c>
      <c r="AW183">
        <v>17.89</v>
      </c>
      <c r="AX183">
        <v>15.16</v>
      </c>
      <c r="AY183">
        <v>12.924526999999999</v>
      </c>
      <c r="AZ183">
        <v>73.096231000000003</v>
      </c>
      <c r="BA183">
        <v>-17.829345</v>
      </c>
      <c r="BB183">
        <v>-3.3282050000000001</v>
      </c>
      <c r="BC183">
        <v>17.829345</v>
      </c>
      <c r="BD183">
        <v>19.564762999999999</v>
      </c>
      <c r="BE183">
        <v>158.98336599999999</v>
      </c>
      <c r="BF183">
        <v>-14.281036</v>
      </c>
      <c r="BG183">
        <v>3.7878790000000002</v>
      </c>
      <c r="BH183">
        <v>14.281036</v>
      </c>
    </row>
    <row r="184" spans="1:60" x14ac:dyDescent="0.25">
      <c r="A184" t="s">
        <v>417</v>
      </c>
      <c r="B184" t="s">
        <v>418</v>
      </c>
      <c r="C184">
        <v>16</v>
      </c>
      <c r="D184" t="s">
        <v>360</v>
      </c>
      <c r="E184" cm="1">
        <f t="array" ref="E184">_xlfn.SWITCH(D184,"QPSK",0.1,"16QAM",0.25,"64QAM",0.5,"256QAM",0.8,"1024QAM",1,"")</f>
        <v>0.5</v>
      </c>
      <c r="F184" cm="1">
        <f t="array" ref="F184">_xlfn.SWITCH(D184,"QPSK",0.05,"16QAM",0.15,"64QAM",0.4,"256QAM",0.75,"1024QAM",1,"")</f>
        <v>0.4</v>
      </c>
      <c r="G184" t="s">
        <v>61</v>
      </c>
      <c r="H184">
        <v>1</v>
      </c>
      <c r="I184" t="s">
        <v>62</v>
      </c>
      <c r="J184">
        <v>2</v>
      </c>
      <c r="K184">
        <v>2</v>
      </c>
      <c r="L184" t="s">
        <v>63</v>
      </c>
      <c r="M184">
        <v>2</v>
      </c>
      <c r="N184">
        <v>0.47849999999999998</v>
      </c>
      <c r="O184">
        <v>0.4788</v>
      </c>
      <c r="P184">
        <v>5000</v>
      </c>
      <c r="Q184">
        <v>2835</v>
      </c>
      <c r="R184">
        <v>2165</v>
      </c>
      <c r="S184">
        <v>1.76</v>
      </c>
      <c r="T184">
        <v>76.37</v>
      </c>
      <c r="W184">
        <v>2835</v>
      </c>
      <c r="X184">
        <v>0</v>
      </c>
      <c r="Y184">
        <v>43.3</v>
      </c>
      <c r="Z184">
        <v>0</v>
      </c>
      <c r="AB184">
        <v>179280000</v>
      </c>
      <c r="AC184">
        <v>101651760</v>
      </c>
      <c r="AD184">
        <v>179280000</v>
      </c>
      <c r="AE184">
        <v>101651760</v>
      </c>
      <c r="AF184">
        <v>374400000</v>
      </c>
      <c r="AG184">
        <v>100</v>
      </c>
      <c r="AH184">
        <v>56.7</v>
      </c>
      <c r="AI184">
        <v>1</v>
      </c>
      <c r="AJ184">
        <v>1.763668</v>
      </c>
      <c r="AK184">
        <v>0.27150000000000002</v>
      </c>
      <c r="AL184">
        <v>20.329999999999998</v>
      </c>
      <c r="AM184">
        <v>20330</v>
      </c>
      <c r="AN184">
        <v>2.1720000000000002</v>
      </c>
      <c r="AO184">
        <v>30</v>
      </c>
      <c r="AP184">
        <v>21.87</v>
      </c>
      <c r="AQ184">
        <v>0.72</v>
      </c>
      <c r="AR184">
        <v>-5.95</v>
      </c>
      <c r="AS184">
        <v>1.95</v>
      </c>
      <c r="AT184">
        <v>22.68</v>
      </c>
      <c r="AU184">
        <v>6666.69</v>
      </c>
      <c r="AV184">
        <v>35.81</v>
      </c>
      <c r="AW184">
        <v>17.920000000000002</v>
      </c>
      <c r="AX184">
        <v>15.15</v>
      </c>
      <c r="AY184">
        <v>12.865238</v>
      </c>
      <c r="AZ184">
        <v>73.978182000000004</v>
      </c>
      <c r="BA184">
        <v>-17.869630000000001</v>
      </c>
      <c r="BB184">
        <v>-3.2030120000000002</v>
      </c>
      <c r="BC184">
        <v>17.869630000000001</v>
      </c>
      <c r="BD184">
        <v>19.427232</v>
      </c>
      <c r="BE184">
        <v>160.09581800000001</v>
      </c>
      <c r="BF184">
        <v>-14.336804000000001</v>
      </c>
      <c r="BG184">
        <v>3.8457300000000001</v>
      </c>
      <c r="BH184">
        <v>14.336804000000001</v>
      </c>
    </row>
    <row r="185" spans="1:60" x14ac:dyDescent="0.25">
      <c r="A185" t="s">
        <v>419</v>
      </c>
      <c r="B185" t="s">
        <v>420</v>
      </c>
      <c r="C185">
        <v>16</v>
      </c>
      <c r="D185" t="s">
        <v>360</v>
      </c>
      <c r="E185" cm="1">
        <f t="array" ref="E185">_xlfn.SWITCH(D185,"QPSK",0.1,"16QAM",0.25,"64QAM",0.5,"256QAM",0.8,"1024QAM",1,"")</f>
        <v>0.5</v>
      </c>
      <c r="F185" cm="1">
        <f t="array" ref="F185">_xlfn.SWITCH(D185,"QPSK",0.05,"16QAM",0.15,"64QAM",0.4,"256QAM",0.75,"1024QAM",1,"")</f>
        <v>0.4</v>
      </c>
      <c r="G185" t="s">
        <v>61</v>
      </c>
      <c r="H185">
        <v>4</v>
      </c>
      <c r="I185" t="s">
        <v>62</v>
      </c>
      <c r="J185">
        <v>2</v>
      </c>
      <c r="K185">
        <v>2</v>
      </c>
      <c r="L185" t="s">
        <v>63</v>
      </c>
      <c r="M185">
        <v>2</v>
      </c>
      <c r="N185">
        <v>0.47849999999999998</v>
      </c>
      <c r="O185">
        <v>0.4788</v>
      </c>
      <c r="P185">
        <v>10000</v>
      </c>
      <c r="Q185">
        <v>5639</v>
      </c>
      <c r="R185">
        <v>4361</v>
      </c>
      <c r="S185">
        <v>1.77</v>
      </c>
      <c r="T185">
        <v>0.77</v>
      </c>
      <c r="W185">
        <v>5635</v>
      </c>
      <c r="X185">
        <v>0</v>
      </c>
      <c r="Y185">
        <v>43.65</v>
      </c>
      <c r="Z185">
        <v>7.0000000000000007E-2</v>
      </c>
      <c r="AB185">
        <v>358560000</v>
      </c>
      <c r="AC185">
        <v>202048560</v>
      </c>
      <c r="AD185">
        <v>358560000</v>
      </c>
      <c r="AE185">
        <v>202048560</v>
      </c>
      <c r="AG185">
        <v>99.93</v>
      </c>
      <c r="AH185">
        <v>56.35</v>
      </c>
      <c r="AI185">
        <v>1</v>
      </c>
      <c r="AJ185">
        <v>1.7733639999999999</v>
      </c>
      <c r="AK185">
        <v>0.26979999999999998</v>
      </c>
      <c r="AL185">
        <v>20.2</v>
      </c>
      <c r="AM185">
        <v>20205</v>
      </c>
      <c r="AN185">
        <v>2.1585999999999999</v>
      </c>
      <c r="AO185">
        <v>30</v>
      </c>
      <c r="AP185">
        <v>21.87</v>
      </c>
      <c r="AQ185">
        <v>0.72</v>
      </c>
      <c r="AR185">
        <v>-6.09</v>
      </c>
      <c r="AS185">
        <v>1.94</v>
      </c>
      <c r="AT185">
        <v>23.3</v>
      </c>
      <c r="AU185">
        <v>6666.69</v>
      </c>
      <c r="AV185">
        <v>35.81</v>
      </c>
      <c r="AW185">
        <v>17.89</v>
      </c>
      <c r="AX185">
        <v>15.16</v>
      </c>
      <c r="AY185">
        <v>12.923047</v>
      </c>
      <c r="AZ185">
        <v>73.060276999999999</v>
      </c>
      <c r="BA185">
        <v>-17.830024999999999</v>
      </c>
      <c r="BB185">
        <v>-3.3313100000000002</v>
      </c>
      <c r="BC185">
        <v>17.830024999999999</v>
      </c>
      <c r="BD185">
        <v>19.572762999999998</v>
      </c>
      <c r="BE185">
        <v>159.14021700000001</v>
      </c>
      <c r="BF185">
        <v>-14.277181000000001</v>
      </c>
      <c r="BG185">
        <v>3.789898</v>
      </c>
      <c r="BH185">
        <v>14.277181000000001</v>
      </c>
    </row>
    <row r="186" spans="1:60" x14ac:dyDescent="0.25">
      <c r="A186" t="s">
        <v>421</v>
      </c>
      <c r="B186" t="s">
        <v>422</v>
      </c>
      <c r="C186">
        <v>16</v>
      </c>
      <c r="D186" t="s">
        <v>360</v>
      </c>
      <c r="E186" cm="1">
        <f t="array" ref="E186">_xlfn.SWITCH(D186,"QPSK",0.1,"16QAM",0.25,"64QAM",0.5,"256QAM",0.8,"1024QAM",1,"")</f>
        <v>0.5</v>
      </c>
      <c r="F186" cm="1">
        <f t="array" ref="F186">_xlfn.SWITCH(D186,"QPSK",0.05,"16QAM",0.15,"64QAM",0.4,"256QAM",0.75,"1024QAM",1,"")</f>
        <v>0.4</v>
      </c>
      <c r="G186" t="s">
        <v>61</v>
      </c>
      <c r="H186">
        <v>4</v>
      </c>
      <c r="I186" t="s">
        <v>62</v>
      </c>
      <c r="J186">
        <v>2</v>
      </c>
      <c r="K186">
        <v>2</v>
      </c>
      <c r="L186" t="s">
        <v>63</v>
      </c>
      <c r="M186">
        <v>2</v>
      </c>
      <c r="N186">
        <v>0.47849999999999998</v>
      </c>
      <c r="O186">
        <v>0.4788</v>
      </c>
      <c r="P186">
        <v>5000</v>
      </c>
      <c r="Q186">
        <v>2832</v>
      </c>
      <c r="R186">
        <v>2168</v>
      </c>
      <c r="S186">
        <v>1.77</v>
      </c>
      <c r="T186">
        <v>76.55</v>
      </c>
      <c r="W186">
        <v>2832</v>
      </c>
      <c r="X186">
        <v>0</v>
      </c>
      <c r="Y186">
        <v>43.36</v>
      </c>
      <c r="Z186">
        <v>0</v>
      </c>
      <c r="AB186">
        <v>179280000</v>
      </c>
      <c r="AC186">
        <v>101544192</v>
      </c>
      <c r="AD186">
        <v>179280000</v>
      </c>
      <c r="AE186">
        <v>101544192</v>
      </c>
      <c r="AF186">
        <v>374400000</v>
      </c>
      <c r="AG186">
        <v>100</v>
      </c>
      <c r="AH186">
        <v>56.64</v>
      </c>
      <c r="AI186">
        <v>1</v>
      </c>
      <c r="AJ186">
        <v>1.7655369999999999</v>
      </c>
      <c r="AK186">
        <v>0.2712</v>
      </c>
      <c r="AL186">
        <v>20.309999999999999</v>
      </c>
      <c r="AM186">
        <v>20309</v>
      </c>
      <c r="AN186">
        <v>2.1697000000000002</v>
      </c>
      <c r="AO186">
        <v>30</v>
      </c>
      <c r="AP186">
        <v>21.87</v>
      </c>
      <c r="AQ186">
        <v>0.72</v>
      </c>
      <c r="AR186">
        <v>-5.95</v>
      </c>
      <c r="AS186">
        <v>1.95</v>
      </c>
      <c r="AT186">
        <v>22.56</v>
      </c>
      <c r="AU186">
        <v>6666.69</v>
      </c>
      <c r="AV186">
        <v>35.81</v>
      </c>
      <c r="AW186">
        <v>17.920000000000002</v>
      </c>
      <c r="AX186">
        <v>15.15</v>
      </c>
      <c r="AY186">
        <v>12.859932000000001</v>
      </c>
      <c r="AZ186">
        <v>73.837884000000003</v>
      </c>
      <c r="BA186">
        <v>-17.872788</v>
      </c>
      <c r="BB186">
        <v>-3.2117260000000001</v>
      </c>
      <c r="BC186">
        <v>17.872788</v>
      </c>
      <c r="BD186">
        <v>19.428804</v>
      </c>
      <c r="BE186">
        <v>160.26601400000001</v>
      </c>
      <c r="BF186">
        <v>-14.335538</v>
      </c>
      <c r="BG186">
        <v>3.8375159999999999</v>
      </c>
      <c r="BH186">
        <v>14.335538</v>
      </c>
    </row>
    <row r="187" spans="1:60" x14ac:dyDescent="0.25">
      <c r="A187" t="s">
        <v>423</v>
      </c>
      <c r="B187" t="s">
        <v>424</v>
      </c>
      <c r="C187">
        <v>16</v>
      </c>
      <c r="D187" t="s">
        <v>360</v>
      </c>
      <c r="E187" cm="1">
        <f t="array" ref="E187">_xlfn.SWITCH(D187,"QPSK",0.1,"16QAM",0.25,"64QAM",0.5,"256QAM",0.8,"1024QAM",1,"")</f>
        <v>0.5</v>
      </c>
      <c r="F187" cm="1">
        <f t="array" ref="F187">_xlfn.SWITCH(D187,"QPSK",0.05,"16QAM",0.15,"64QAM",0.4,"256QAM",0.75,"1024QAM",1,"")</f>
        <v>0.4</v>
      </c>
      <c r="G187" t="s">
        <v>61</v>
      </c>
      <c r="H187">
        <v>8</v>
      </c>
      <c r="I187" t="s">
        <v>62</v>
      </c>
      <c r="J187">
        <v>2</v>
      </c>
      <c r="K187">
        <v>2</v>
      </c>
      <c r="L187" t="s">
        <v>63</v>
      </c>
      <c r="M187">
        <v>2</v>
      </c>
      <c r="N187">
        <v>0.47849999999999998</v>
      </c>
      <c r="O187">
        <v>0.4788</v>
      </c>
      <c r="P187">
        <v>10000</v>
      </c>
      <c r="Q187">
        <v>5626</v>
      </c>
      <c r="R187">
        <v>4374</v>
      </c>
      <c r="S187">
        <v>1.78</v>
      </c>
      <c r="T187">
        <v>0.78</v>
      </c>
      <c r="W187">
        <v>5619</v>
      </c>
      <c r="X187">
        <v>0</v>
      </c>
      <c r="Y187">
        <v>43.81</v>
      </c>
      <c r="Z187">
        <v>0.12</v>
      </c>
      <c r="AB187">
        <v>358560000</v>
      </c>
      <c r="AC187">
        <v>201474864</v>
      </c>
      <c r="AD187">
        <v>358560000</v>
      </c>
      <c r="AE187">
        <v>201474864</v>
      </c>
      <c r="AG187">
        <v>99.88</v>
      </c>
      <c r="AH187">
        <v>56.19</v>
      </c>
      <c r="AI187">
        <v>1</v>
      </c>
      <c r="AJ187">
        <v>1.7774620000000001</v>
      </c>
      <c r="AK187">
        <v>0.26910000000000001</v>
      </c>
      <c r="AL187">
        <v>20.149999999999999</v>
      </c>
      <c r="AM187">
        <v>20147</v>
      </c>
      <c r="AN187">
        <v>2.1524999999999999</v>
      </c>
      <c r="AO187">
        <v>30</v>
      </c>
      <c r="AP187">
        <v>21.87</v>
      </c>
      <c r="AQ187">
        <v>0.72</v>
      </c>
      <c r="AR187">
        <v>-6.09</v>
      </c>
      <c r="AS187">
        <v>1.94</v>
      </c>
      <c r="AT187">
        <v>23.15</v>
      </c>
      <c r="AU187">
        <v>6666.69</v>
      </c>
      <c r="AV187">
        <v>35.81</v>
      </c>
      <c r="AW187">
        <v>17.89</v>
      </c>
      <c r="AX187">
        <v>15.16</v>
      </c>
      <c r="AY187">
        <v>12.925781000000001</v>
      </c>
      <c r="AZ187">
        <v>73.485975999999994</v>
      </c>
      <c r="BA187">
        <v>-17.828302000000001</v>
      </c>
      <c r="BB187">
        <v>-3.287471</v>
      </c>
      <c r="BC187">
        <v>17.828302000000001</v>
      </c>
      <c r="BD187">
        <v>19.568954000000002</v>
      </c>
      <c r="BE187">
        <v>159.42932500000001</v>
      </c>
      <c r="BF187">
        <v>-14.279283</v>
      </c>
      <c r="BG187">
        <v>3.8056190000000001</v>
      </c>
      <c r="BH187">
        <v>14.279283</v>
      </c>
    </row>
    <row r="188" spans="1:60" x14ac:dyDescent="0.25">
      <c r="A188" t="s">
        <v>425</v>
      </c>
      <c r="B188" t="s">
        <v>426</v>
      </c>
      <c r="C188">
        <v>18</v>
      </c>
      <c r="D188" t="s">
        <v>360</v>
      </c>
      <c r="E188" cm="1">
        <f t="array" ref="E188">_xlfn.SWITCH(D188,"QPSK",0.1,"16QAM",0.25,"64QAM",0.5,"256QAM",0.8,"1024QAM",1,"")</f>
        <v>0.5</v>
      </c>
      <c r="F188" cm="1">
        <f t="array" ref="F188">_xlfn.SWITCH(D188,"QPSK",0.05,"16QAM",0.15,"64QAM",0.4,"256QAM",0.75,"1024QAM",1,"")</f>
        <v>0.4</v>
      </c>
      <c r="G188" t="s">
        <v>61</v>
      </c>
      <c r="H188">
        <v>1</v>
      </c>
      <c r="I188" t="s">
        <v>62</v>
      </c>
      <c r="J188">
        <v>2</v>
      </c>
      <c r="K188">
        <v>2</v>
      </c>
      <c r="L188" t="s">
        <v>63</v>
      </c>
      <c r="M188">
        <v>2</v>
      </c>
      <c r="N188">
        <v>0.47849999999999998</v>
      </c>
      <c r="O188">
        <v>0.4788</v>
      </c>
      <c r="P188">
        <v>10000</v>
      </c>
      <c r="Q188">
        <v>6886</v>
      </c>
      <c r="R188">
        <v>3114</v>
      </c>
      <c r="S188">
        <v>1.45</v>
      </c>
      <c r="T188">
        <v>0.45</v>
      </c>
      <c r="W188">
        <v>6886</v>
      </c>
      <c r="X188">
        <v>0</v>
      </c>
      <c r="Y188">
        <v>31.14</v>
      </c>
      <c r="Z188">
        <v>0</v>
      </c>
      <c r="AB188">
        <v>358560000</v>
      </c>
      <c r="AC188">
        <v>246904416</v>
      </c>
      <c r="AD188">
        <v>358560000</v>
      </c>
      <c r="AE188">
        <v>246904416</v>
      </c>
      <c r="AG188">
        <v>100</v>
      </c>
      <c r="AH188">
        <v>68.86</v>
      </c>
      <c r="AI188">
        <v>1</v>
      </c>
      <c r="AJ188">
        <v>1.4522219999999999</v>
      </c>
      <c r="AK188">
        <v>0.32969999999999999</v>
      </c>
      <c r="AL188">
        <v>24.69</v>
      </c>
      <c r="AM188">
        <v>24690</v>
      </c>
      <c r="AN188">
        <v>2.6379000000000001</v>
      </c>
      <c r="AO188">
        <v>30</v>
      </c>
      <c r="AP188">
        <v>21.87</v>
      </c>
      <c r="AQ188">
        <v>0.72</v>
      </c>
      <c r="AR188">
        <v>-6.1</v>
      </c>
      <c r="AS188">
        <v>1.93</v>
      </c>
      <c r="AT188">
        <v>24.1</v>
      </c>
      <c r="AU188">
        <v>6666.69</v>
      </c>
      <c r="AV188">
        <v>35.81</v>
      </c>
      <c r="AW188">
        <v>18.68</v>
      </c>
      <c r="AX188">
        <v>15.52</v>
      </c>
      <c r="AY188">
        <v>11.808386</v>
      </c>
      <c r="AZ188">
        <v>64.672745000000006</v>
      </c>
      <c r="BA188">
        <v>-18.643346999999999</v>
      </c>
      <c r="BB188">
        <v>-4.3710649999999998</v>
      </c>
      <c r="BC188">
        <v>18.643346999999999</v>
      </c>
      <c r="BD188">
        <v>18.261948</v>
      </c>
      <c r="BE188">
        <v>151.53317799999999</v>
      </c>
      <c r="BF188">
        <v>-14.893226</v>
      </c>
      <c r="BG188">
        <v>3.2804229999999999</v>
      </c>
      <c r="BH188">
        <v>14.893226</v>
      </c>
    </row>
    <row r="189" spans="1:60" x14ac:dyDescent="0.25">
      <c r="A189" t="s">
        <v>427</v>
      </c>
      <c r="B189" t="s">
        <v>428</v>
      </c>
      <c r="C189">
        <v>18</v>
      </c>
      <c r="D189" t="s">
        <v>360</v>
      </c>
      <c r="E189" cm="1">
        <f t="array" ref="E189">_xlfn.SWITCH(D189,"QPSK",0.1,"16QAM",0.25,"64QAM",0.5,"256QAM",0.8,"1024QAM",1,"")</f>
        <v>0.5</v>
      </c>
      <c r="F189" cm="1">
        <f t="array" ref="F189">_xlfn.SWITCH(D189,"QPSK",0.05,"16QAM",0.15,"64QAM",0.4,"256QAM",0.75,"1024QAM",1,"")</f>
        <v>0.4</v>
      </c>
      <c r="G189" t="s">
        <v>61</v>
      </c>
      <c r="H189">
        <v>4</v>
      </c>
      <c r="I189" t="s">
        <v>62</v>
      </c>
      <c r="J189">
        <v>2</v>
      </c>
      <c r="K189">
        <v>2</v>
      </c>
      <c r="L189" t="s">
        <v>63</v>
      </c>
      <c r="M189">
        <v>2</v>
      </c>
      <c r="N189">
        <v>0.47849999999999998</v>
      </c>
      <c r="O189">
        <v>0.4788</v>
      </c>
      <c r="P189">
        <v>10000</v>
      </c>
      <c r="Q189">
        <v>6880</v>
      </c>
      <c r="R189">
        <v>3120</v>
      </c>
      <c r="S189">
        <v>1.45</v>
      </c>
      <c r="T189">
        <v>0.45</v>
      </c>
      <c r="W189">
        <v>6880</v>
      </c>
      <c r="X189">
        <v>0</v>
      </c>
      <c r="Y189">
        <v>31.2</v>
      </c>
      <c r="Z189">
        <v>0</v>
      </c>
      <c r="AB189">
        <v>358560000</v>
      </c>
      <c r="AC189">
        <v>246689280</v>
      </c>
      <c r="AD189">
        <v>358560000</v>
      </c>
      <c r="AE189">
        <v>246689280</v>
      </c>
      <c r="AG189">
        <v>100</v>
      </c>
      <c r="AH189">
        <v>68.8</v>
      </c>
      <c r="AI189">
        <v>1</v>
      </c>
      <c r="AJ189">
        <v>1.4534879999999999</v>
      </c>
      <c r="AK189">
        <v>0.32940000000000003</v>
      </c>
      <c r="AL189">
        <v>24.67</v>
      </c>
      <c r="AM189">
        <v>24669</v>
      </c>
      <c r="AN189">
        <v>2.6356000000000002</v>
      </c>
      <c r="AO189">
        <v>30</v>
      </c>
      <c r="AP189">
        <v>21.87</v>
      </c>
      <c r="AQ189">
        <v>0.72</v>
      </c>
      <c r="AR189">
        <v>-6.1</v>
      </c>
      <c r="AS189">
        <v>1.93</v>
      </c>
      <c r="AT189">
        <v>24.27</v>
      </c>
      <c r="AU189">
        <v>6666.69</v>
      </c>
      <c r="AV189">
        <v>35.81</v>
      </c>
      <c r="AW189">
        <v>18.68</v>
      </c>
      <c r="AX189">
        <v>15.52</v>
      </c>
      <c r="AY189">
        <v>11.811597000000001</v>
      </c>
      <c r="AZ189">
        <v>64.734842999999998</v>
      </c>
      <c r="BA189">
        <v>-18.640802000000001</v>
      </c>
      <c r="BB189">
        <v>-4.3723070000000002</v>
      </c>
      <c r="BC189">
        <v>18.640802000000001</v>
      </c>
      <c r="BD189">
        <v>18.269532000000002</v>
      </c>
      <c r="BE189">
        <v>151.60761500000001</v>
      </c>
      <c r="BF189">
        <v>-14.889029000000001</v>
      </c>
      <c r="BG189">
        <v>3.2759969999999998</v>
      </c>
      <c r="BH189">
        <v>14.889029000000001</v>
      </c>
    </row>
    <row r="190" spans="1:60" x14ac:dyDescent="0.25">
      <c r="A190" t="s">
        <v>429</v>
      </c>
      <c r="B190" t="s">
        <v>430</v>
      </c>
      <c r="C190">
        <v>18</v>
      </c>
      <c r="D190" t="s">
        <v>360</v>
      </c>
      <c r="E190" cm="1">
        <f t="array" ref="E190">_xlfn.SWITCH(D190,"QPSK",0.1,"16QAM",0.25,"64QAM",0.5,"256QAM",0.8,"1024QAM",1,"")</f>
        <v>0.5</v>
      </c>
      <c r="F190" cm="1">
        <f t="array" ref="F190">_xlfn.SWITCH(D190,"QPSK",0.05,"16QAM",0.15,"64QAM",0.4,"256QAM",0.75,"1024QAM",1,"")</f>
        <v>0.4</v>
      </c>
      <c r="G190" t="s">
        <v>61</v>
      </c>
      <c r="H190">
        <v>8</v>
      </c>
      <c r="I190" t="s">
        <v>62</v>
      </c>
      <c r="J190">
        <v>2</v>
      </c>
      <c r="K190">
        <v>2</v>
      </c>
      <c r="L190" t="s">
        <v>63</v>
      </c>
      <c r="M190">
        <v>2</v>
      </c>
      <c r="N190">
        <v>0.47849999999999998</v>
      </c>
      <c r="O190">
        <v>0.4788</v>
      </c>
      <c r="P190">
        <v>10000</v>
      </c>
      <c r="Q190">
        <v>6823</v>
      </c>
      <c r="R190">
        <v>3177</v>
      </c>
      <c r="S190">
        <v>1.47</v>
      </c>
      <c r="T190">
        <v>0.47</v>
      </c>
      <c r="W190">
        <v>6819</v>
      </c>
      <c r="X190">
        <v>0</v>
      </c>
      <c r="Y190">
        <v>31.81</v>
      </c>
      <c r="Z190">
        <v>0.06</v>
      </c>
      <c r="AB190">
        <v>358560000</v>
      </c>
      <c r="AC190">
        <v>244502064</v>
      </c>
      <c r="AD190">
        <v>358560000</v>
      </c>
      <c r="AE190">
        <v>244502064</v>
      </c>
      <c r="AG190">
        <v>99.94</v>
      </c>
      <c r="AH190">
        <v>68.19</v>
      </c>
      <c r="AI190">
        <v>1</v>
      </c>
      <c r="AJ190">
        <v>1.4656309999999999</v>
      </c>
      <c r="AK190">
        <v>0.32650000000000001</v>
      </c>
      <c r="AL190">
        <v>24.45</v>
      </c>
      <c r="AM190">
        <v>24450</v>
      </c>
      <c r="AN190">
        <v>2.6122000000000001</v>
      </c>
      <c r="AO190">
        <v>30</v>
      </c>
      <c r="AP190">
        <v>21.87</v>
      </c>
      <c r="AQ190">
        <v>0.72</v>
      </c>
      <c r="AR190">
        <v>-6.1</v>
      </c>
      <c r="AS190">
        <v>1.93</v>
      </c>
      <c r="AT190">
        <v>24.17</v>
      </c>
      <c r="AU190">
        <v>6666.69</v>
      </c>
      <c r="AV190">
        <v>35.81</v>
      </c>
      <c r="AW190">
        <v>18.68</v>
      </c>
      <c r="AX190">
        <v>15.52</v>
      </c>
      <c r="AY190">
        <v>11.808517999999999</v>
      </c>
      <c r="AZ190">
        <v>64.915605999999997</v>
      </c>
      <c r="BA190">
        <v>-18.643094000000001</v>
      </c>
      <c r="BB190">
        <v>-4.3510910000000003</v>
      </c>
      <c r="BC190">
        <v>18.643094000000001</v>
      </c>
      <c r="BD190">
        <v>18.263059999999999</v>
      </c>
      <c r="BE190">
        <v>151.74674300000001</v>
      </c>
      <c r="BF190">
        <v>-14.892389</v>
      </c>
      <c r="BG190">
        <v>3.2879209999999999</v>
      </c>
      <c r="BH190">
        <v>14.892389</v>
      </c>
    </row>
    <row r="191" spans="1:60" x14ac:dyDescent="0.25">
      <c r="A191" t="s">
        <v>431</v>
      </c>
      <c r="B191" t="s">
        <v>432</v>
      </c>
      <c r="C191">
        <v>2</v>
      </c>
      <c r="D191" t="s">
        <v>360</v>
      </c>
      <c r="E191" cm="1">
        <f t="array" ref="E191">_xlfn.SWITCH(D191,"QPSK",0.1,"16QAM",0.25,"64QAM",0.5,"256QAM",0.8,"1024QAM",1,"")</f>
        <v>0.5</v>
      </c>
      <c r="F191" cm="1">
        <f t="array" ref="F191">_xlfn.SWITCH(D191,"QPSK",0.05,"16QAM",0.15,"64QAM",0.4,"256QAM",0.75,"1024QAM",1,"")</f>
        <v>0.4</v>
      </c>
      <c r="G191" t="s">
        <v>61</v>
      </c>
      <c r="H191">
        <v>16</v>
      </c>
      <c r="I191" t="s">
        <v>62</v>
      </c>
      <c r="J191">
        <v>2</v>
      </c>
      <c r="K191">
        <v>2</v>
      </c>
      <c r="L191" t="s">
        <v>63</v>
      </c>
      <c r="M191">
        <v>2</v>
      </c>
      <c r="N191">
        <v>0.47849999999999998</v>
      </c>
      <c r="O191">
        <v>0.4788</v>
      </c>
      <c r="P191">
        <v>5000</v>
      </c>
      <c r="Q191">
        <v>1264</v>
      </c>
      <c r="R191">
        <v>3736</v>
      </c>
      <c r="S191">
        <v>3.96</v>
      </c>
      <c r="T191">
        <v>295.57</v>
      </c>
      <c r="W191">
        <v>45</v>
      </c>
      <c r="X191">
        <v>1203</v>
      </c>
      <c r="Y191">
        <v>99.1</v>
      </c>
      <c r="Z191">
        <v>96.44</v>
      </c>
      <c r="AB191">
        <v>179280000</v>
      </c>
      <c r="AC191">
        <v>1613520</v>
      </c>
      <c r="AD191">
        <v>179280000</v>
      </c>
      <c r="AE191">
        <v>1613520</v>
      </c>
      <c r="AF191">
        <v>374400000</v>
      </c>
      <c r="AG191">
        <v>3.56</v>
      </c>
      <c r="AH191">
        <v>0.9</v>
      </c>
      <c r="AI191">
        <v>1</v>
      </c>
      <c r="AJ191">
        <v>3.9556960000000001</v>
      </c>
      <c r="AK191">
        <v>4.3E-3</v>
      </c>
      <c r="AL191">
        <v>0.32</v>
      </c>
      <c r="AM191">
        <v>323</v>
      </c>
      <c r="AN191">
        <v>3.4500000000000003E-2</v>
      </c>
      <c r="AO191">
        <v>30</v>
      </c>
      <c r="AP191">
        <v>21.87</v>
      </c>
      <c r="AQ191">
        <v>0.72</v>
      </c>
      <c r="AR191">
        <v>-5.83</v>
      </c>
      <c r="AS191">
        <v>1.89</v>
      </c>
      <c r="AT191">
        <v>12.98</v>
      </c>
      <c r="AU191">
        <v>6666.69</v>
      </c>
      <c r="AV191">
        <v>35.81</v>
      </c>
      <c r="AW191">
        <v>15.28</v>
      </c>
      <c r="AX191">
        <v>12.02</v>
      </c>
      <c r="AY191">
        <v>20.517806</v>
      </c>
      <c r="AZ191">
        <v>132.901554</v>
      </c>
      <c r="BA191">
        <v>-13.800096</v>
      </c>
      <c r="BB191">
        <v>2.3136139999999998</v>
      </c>
      <c r="BC191">
        <v>13.800096</v>
      </c>
      <c r="BD191">
        <v>29.007277999999999</v>
      </c>
      <c r="BE191">
        <v>233.79329999999999</v>
      </c>
      <c r="BF191">
        <v>-10.827474</v>
      </c>
      <c r="BG191">
        <v>7.1133519999999999</v>
      </c>
      <c r="BH191">
        <v>10.827474</v>
      </c>
    </row>
    <row r="192" spans="1:60" x14ac:dyDescent="0.25">
      <c r="A192" t="s">
        <v>433</v>
      </c>
      <c r="B192" t="s">
        <v>434</v>
      </c>
      <c r="C192">
        <v>2</v>
      </c>
      <c r="D192" t="s">
        <v>360</v>
      </c>
      <c r="E192" cm="1">
        <f t="array" ref="E192">_xlfn.SWITCH(D192,"QPSK",0.1,"16QAM",0.25,"64QAM",0.5,"256QAM",0.8,"1024QAM",1,"")</f>
        <v>0.5</v>
      </c>
      <c r="F192" cm="1">
        <f t="array" ref="F192">_xlfn.SWITCH(D192,"QPSK",0.05,"16QAM",0.15,"64QAM",0.4,"256QAM",0.75,"1024QAM",1,"")</f>
        <v>0.4</v>
      </c>
      <c r="G192" t="s">
        <v>61</v>
      </c>
      <c r="H192">
        <v>1</v>
      </c>
      <c r="I192" t="s">
        <v>62</v>
      </c>
      <c r="J192">
        <v>2</v>
      </c>
      <c r="K192">
        <v>2</v>
      </c>
      <c r="L192" t="s">
        <v>63</v>
      </c>
      <c r="M192">
        <v>2</v>
      </c>
      <c r="N192">
        <v>0.47849999999999998</v>
      </c>
      <c r="O192">
        <v>0.4788</v>
      </c>
      <c r="P192">
        <v>10000</v>
      </c>
      <c r="Q192">
        <v>2507</v>
      </c>
      <c r="R192">
        <v>7493</v>
      </c>
      <c r="S192">
        <v>3.99</v>
      </c>
      <c r="T192">
        <v>2.99</v>
      </c>
      <c r="W192">
        <v>150</v>
      </c>
      <c r="X192">
        <v>0</v>
      </c>
      <c r="Y192">
        <v>98.5</v>
      </c>
      <c r="Z192">
        <v>94.02</v>
      </c>
      <c r="AB192">
        <v>358560000</v>
      </c>
      <c r="AC192">
        <v>5378400</v>
      </c>
      <c r="AD192">
        <v>358560000</v>
      </c>
      <c r="AE192">
        <v>5378400</v>
      </c>
      <c r="AG192">
        <v>5.98</v>
      </c>
      <c r="AH192">
        <v>1.5</v>
      </c>
      <c r="AI192">
        <v>1</v>
      </c>
      <c r="AJ192">
        <v>3.9888309999999998</v>
      </c>
      <c r="AK192">
        <v>7.1999999999999998E-3</v>
      </c>
      <c r="AL192">
        <v>0.54</v>
      </c>
      <c r="AM192">
        <v>538</v>
      </c>
      <c r="AN192">
        <v>5.7500000000000002E-2</v>
      </c>
      <c r="AO192">
        <v>30</v>
      </c>
      <c r="AP192">
        <v>21.87</v>
      </c>
      <c r="AQ192">
        <v>0.72</v>
      </c>
      <c r="AR192">
        <v>-5.96</v>
      </c>
      <c r="AS192">
        <v>1.86</v>
      </c>
      <c r="AT192">
        <v>12.51</v>
      </c>
      <c r="AU192">
        <v>6666.69</v>
      </c>
      <c r="AV192">
        <v>35.81</v>
      </c>
      <c r="AW192">
        <v>15.24</v>
      </c>
      <c r="AX192">
        <v>11.89</v>
      </c>
      <c r="AY192">
        <v>20.643239000000001</v>
      </c>
      <c r="AZ192">
        <v>134.202912</v>
      </c>
      <c r="BA192">
        <v>-13.746623</v>
      </c>
      <c r="BB192">
        <v>2.407257</v>
      </c>
      <c r="BC192">
        <v>13.746623</v>
      </c>
      <c r="BD192">
        <v>29.317321</v>
      </c>
      <c r="BE192">
        <v>238.08265800000001</v>
      </c>
      <c r="BF192">
        <v>-10.744643999999999</v>
      </c>
      <c r="BG192">
        <v>7.2509740000000003</v>
      </c>
      <c r="BH192">
        <v>10.744643999999999</v>
      </c>
    </row>
    <row r="193" spans="1:60" x14ac:dyDescent="0.25">
      <c r="A193" t="s">
        <v>435</v>
      </c>
      <c r="B193" t="s">
        <v>436</v>
      </c>
      <c r="C193">
        <v>2</v>
      </c>
      <c r="D193" t="s">
        <v>360</v>
      </c>
      <c r="E193" cm="1">
        <f t="array" ref="E193">_xlfn.SWITCH(D193,"QPSK",0.1,"16QAM",0.25,"64QAM",0.5,"256QAM",0.8,"1024QAM",1,"")</f>
        <v>0.5</v>
      </c>
      <c r="F193" cm="1">
        <f t="array" ref="F193">_xlfn.SWITCH(D193,"QPSK",0.05,"16QAM",0.15,"64QAM",0.4,"256QAM",0.75,"1024QAM",1,"")</f>
        <v>0.4</v>
      </c>
      <c r="G193" t="s">
        <v>61</v>
      </c>
      <c r="H193">
        <v>1</v>
      </c>
      <c r="I193" t="s">
        <v>62</v>
      </c>
      <c r="J193">
        <v>2</v>
      </c>
      <c r="K193">
        <v>2</v>
      </c>
      <c r="L193" t="s">
        <v>63</v>
      </c>
      <c r="M193">
        <v>2</v>
      </c>
      <c r="N193">
        <v>0.47849999999999998</v>
      </c>
      <c r="O193">
        <v>0.4788</v>
      </c>
      <c r="P193">
        <v>5000</v>
      </c>
      <c r="Q193">
        <v>1255</v>
      </c>
      <c r="R193">
        <v>3745</v>
      </c>
      <c r="S193">
        <v>3.98</v>
      </c>
      <c r="T193">
        <v>298.41000000000003</v>
      </c>
      <c r="W193">
        <v>75</v>
      </c>
      <c r="X193">
        <v>1179</v>
      </c>
      <c r="Y193">
        <v>98.5</v>
      </c>
      <c r="Z193">
        <v>94.02</v>
      </c>
      <c r="AB193">
        <v>179280000</v>
      </c>
      <c r="AC193">
        <v>2689200</v>
      </c>
      <c r="AD193">
        <v>179280000</v>
      </c>
      <c r="AE193">
        <v>2689200</v>
      </c>
      <c r="AF193">
        <v>374400000</v>
      </c>
      <c r="AG193">
        <v>5.98</v>
      </c>
      <c r="AH193">
        <v>1.5</v>
      </c>
      <c r="AI193">
        <v>1</v>
      </c>
      <c r="AJ193">
        <v>3.984064</v>
      </c>
      <c r="AK193">
        <v>7.1999999999999998E-3</v>
      </c>
      <c r="AL193">
        <v>0.54</v>
      </c>
      <c r="AM193">
        <v>538</v>
      </c>
      <c r="AN193">
        <v>5.7500000000000002E-2</v>
      </c>
      <c r="AO193">
        <v>30</v>
      </c>
      <c r="AP193">
        <v>21.87</v>
      </c>
      <c r="AQ193">
        <v>0.72</v>
      </c>
      <c r="AR193">
        <v>-5.83</v>
      </c>
      <c r="AS193">
        <v>1.89</v>
      </c>
      <c r="AT193">
        <v>12.92</v>
      </c>
      <c r="AU193">
        <v>6666.69</v>
      </c>
      <c r="AV193">
        <v>35.81</v>
      </c>
      <c r="AW193">
        <v>15.28</v>
      </c>
      <c r="AX193">
        <v>12.02</v>
      </c>
      <c r="AY193">
        <v>20.513580000000001</v>
      </c>
      <c r="AZ193">
        <v>132.735164</v>
      </c>
      <c r="BA193">
        <v>-13.802168</v>
      </c>
      <c r="BB193">
        <v>2.3066779999999998</v>
      </c>
      <c r="BC193">
        <v>13.802168</v>
      </c>
      <c r="BD193">
        <v>29.010581999999999</v>
      </c>
      <c r="BE193">
        <v>233.621182</v>
      </c>
      <c r="BF193">
        <v>-10.826598000000001</v>
      </c>
      <c r="BG193">
        <v>7.1099920000000001</v>
      </c>
      <c r="BH193">
        <v>10.826598000000001</v>
      </c>
    </row>
    <row r="194" spans="1:60" x14ac:dyDescent="0.25">
      <c r="A194" t="s">
        <v>437</v>
      </c>
      <c r="B194" t="s">
        <v>438</v>
      </c>
      <c r="C194">
        <v>2</v>
      </c>
      <c r="D194" t="s">
        <v>360</v>
      </c>
      <c r="E194" cm="1">
        <f t="array" ref="E194">_xlfn.SWITCH(D194,"QPSK",0.1,"16QAM",0.25,"64QAM",0.5,"256QAM",0.8,"1024QAM",1,"")</f>
        <v>0.5</v>
      </c>
      <c r="F194" cm="1">
        <f t="array" ref="F194">_xlfn.SWITCH(D194,"QPSK",0.05,"16QAM",0.15,"64QAM",0.4,"256QAM",0.75,"1024QAM",1,"")</f>
        <v>0.4</v>
      </c>
      <c r="G194" t="s">
        <v>61</v>
      </c>
      <c r="H194">
        <v>4</v>
      </c>
      <c r="I194" t="s">
        <v>62</v>
      </c>
      <c r="J194">
        <v>2</v>
      </c>
      <c r="K194">
        <v>2</v>
      </c>
      <c r="L194" t="s">
        <v>63</v>
      </c>
      <c r="M194">
        <v>2</v>
      </c>
      <c r="N194">
        <v>0.47849999999999998</v>
      </c>
      <c r="O194">
        <v>0.4788</v>
      </c>
      <c r="P194">
        <v>10000</v>
      </c>
      <c r="Q194">
        <v>2508</v>
      </c>
      <c r="R194">
        <v>7492</v>
      </c>
      <c r="S194">
        <v>3.99</v>
      </c>
      <c r="T194">
        <v>2.99</v>
      </c>
      <c r="W194">
        <v>142</v>
      </c>
      <c r="X194">
        <v>0</v>
      </c>
      <c r="Y194">
        <v>98.58</v>
      </c>
      <c r="Z194">
        <v>94.34</v>
      </c>
      <c r="AB194">
        <v>358560000</v>
      </c>
      <c r="AC194">
        <v>5091552</v>
      </c>
      <c r="AD194">
        <v>358560000</v>
      </c>
      <c r="AE194">
        <v>5091552</v>
      </c>
      <c r="AG194">
        <v>5.66</v>
      </c>
      <c r="AH194">
        <v>1.42</v>
      </c>
      <c r="AI194">
        <v>1</v>
      </c>
      <c r="AJ194">
        <v>3.987241</v>
      </c>
      <c r="AK194">
        <v>6.7999999999999996E-3</v>
      </c>
      <c r="AL194">
        <v>0.51</v>
      </c>
      <c r="AM194">
        <v>509</v>
      </c>
      <c r="AN194">
        <v>5.4399999999999997E-2</v>
      </c>
      <c r="AO194">
        <v>30</v>
      </c>
      <c r="AP194">
        <v>21.87</v>
      </c>
      <c r="AQ194">
        <v>0.72</v>
      </c>
      <c r="AR194">
        <v>-5.96</v>
      </c>
      <c r="AS194">
        <v>1.86</v>
      </c>
      <c r="AT194">
        <v>12.6</v>
      </c>
      <c r="AU194">
        <v>6666.69</v>
      </c>
      <c r="AV194">
        <v>35.81</v>
      </c>
      <c r="AW194">
        <v>15.24</v>
      </c>
      <c r="AX194">
        <v>11.88</v>
      </c>
      <c r="AY194">
        <v>20.643025999999999</v>
      </c>
      <c r="AZ194">
        <v>134.19740100000001</v>
      </c>
      <c r="BA194">
        <v>-13.746706</v>
      </c>
      <c r="BB194">
        <v>2.404693</v>
      </c>
      <c r="BC194">
        <v>13.746706</v>
      </c>
      <c r="BD194">
        <v>29.314658999999999</v>
      </c>
      <c r="BE194">
        <v>238.26821100000001</v>
      </c>
      <c r="BF194">
        <v>-10.745815</v>
      </c>
      <c r="BG194">
        <v>7.2521170000000001</v>
      </c>
      <c r="BH194">
        <v>10.745815</v>
      </c>
    </row>
    <row r="195" spans="1:60" x14ac:dyDescent="0.25">
      <c r="A195" t="s">
        <v>439</v>
      </c>
      <c r="B195" t="s">
        <v>440</v>
      </c>
      <c r="C195">
        <v>2</v>
      </c>
      <c r="D195" t="s">
        <v>360</v>
      </c>
      <c r="E195" cm="1">
        <f t="array" ref="E195">_xlfn.SWITCH(D195,"QPSK",0.1,"16QAM",0.25,"64QAM",0.5,"256QAM",0.8,"1024QAM",1,"")</f>
        <v>0.5</v>
      </c>
      <c r="F195" cm="1">
        <f t="array" ref="F195">_xlfn.SWITCH(D195,"QPSK",0.05,"16QAM",0.15,"64QAM",0.4,"256QAM",0.75,"1024QAM",1,"")</f>
        <v>0.4</v>
      </c>
      <c r="G195" t="s">
        <v>61</v>
      </c>
      <c r="H195">
        <v>4</v>
      </c>
      <c r="I195" t="s">
        <v>62</v>
      </c>
      <c r="J195">
        <v>2</v>
      </c>
      <c r="K195">
        <v>2</v>
      </c>
      <c r="L195" t="s">
        <v>63</v>
      </c>
      <c r="M195">
        <v>2</v>
      </c>
      <c r="N195">
        <v>0.47849999999999998</v>
      </c>
      <c r="O195">
        <v>0.4788</v>
      </c>
      <c r="P195">
        <v>5000</v>
      </c>
      <c r="Q195">
        <v>1256</v>
      </c>
      <c r="R195">
        <v>3744</v>
      </c>
      <c r="S195">
        <v>3.98</v>
      </c>
      <c r="T195">
        <v>298.08999999999997</v>
      </c>
      <c r="W195">
        <v>83</v>
      </c>
      <c r="X195">
        <v>1169</v>
      </c>
      <c r="Y195">
        <v>98.34</v>
      </c>
      <c r="Z195">
        <v>93.39</v>
      </c>
      <c r="AB195">
        <v>179280000</v>
      </c>
      <c r="AC195">
        <v>2976048</v>
      </c>
      <c r="AD195">
        <v>179280000</v>
      </c>
      <c r="AE195">
        <v>2976048</v>
      </c>
      <c r="AF195">
        <v>374400000</v>
      </c>
      <c r="AG195">
        <v>6.61</v>
      </c>
      <c r="AH195">
        <v>1.66</v>
      </c>
      <c r="AI195">
        <v>1</v>
      </c>
      <c r="AJ195">
        <v>3.9808919999999999</v>
      </c>
      <c r="AK195">
        <v>7.9000000000000008E-3</v>
      </c>
      <c r="AL195">
        <v>0.6</v>
      </c>
      <c r="AM195">
        <v>595</v>
      </c>
      <c r="AN195">
        <v>6.3600000000000004E-2</v>
      </c>
      <c r="AO195">
        <v>30</v>
      </c>
      <c r="AP195">
        <v>21.87</v>
      </c>
      <c r="AQ195">
        <v>0.72</v>
      </c>
      <c r="AR195">
        <v>-5.83</v>
      </c>
      <c r="AS195">
        <v>1.89</v>
      </c>
      <c r="AT195">
        <v>13.02</v>
      </c>
      <c r="AU195">
        <v>6666.69</v>
      </c>
      <c r="AV195">
        <v>35.81</v>
      </c>
      <c r="AW195">
        <v>15.28</v>
      </c>
      <c r="AX195">
        <v>12.02</v>
      </c>
      <c r="AY195">
        <v>20.519915999999998</v>
      </c>
      <c r="AZ195">
        <v>133.14095</v>
      </c>
      <c r="BA195">
        <v>-13.799436</v>
      </c>
      <c r="BB195">
        <v>2.3365580000000001</v>
      </c>
      <c r="BC195">
        <v>13.799436</v>
      </c>
      <c r="BD195">
        <v>29.014959999999999</v>
      </c>
      <c r="BE195">
        <v>234.024416</v>
      </c>
      <c r="BF195">
        <v>-10.825296</v>
      </c>
      <c r="BG195">
        <v>7.1254840000000002</v>
      </c>
      <c r="BH195">
        <v>10.825296</v>
      </c>
    </row>
    <row r="196" spans="1:60" x14ac:dyDescent="0.25">
      <c r="A196" t="s">
        <v>441</v>
      </c>
      <c r="B196" t="s">
        <v>442</v>
      </c>
      <c r="C196">
        <v>2</v>
      </c>
      <c r="D196" t="s">
        <v>360</v>
      </c>
      <c r="E196" cm="1">
        <f t="array" ref="E196">_xlfn.SWITCH(D196,"QPSK",0.1,"16QAM",0.25,"64QAM",0.5,"256QAM",0.8,"1024QAM",1,"")</f>
        <v>0.5</v>
      </c>
      <c r="F196" cm="1">
        <f t="array" ref="F196">_xlfn.SWITCH(D196,"QPSK",0.05,"16QAM",0.15,"64QAM",0.4,"256QAM",0.75,"1024QAM",1,"")</f>
        <v>0.4</v>
      </c>
      <c r="G196" t="s">
        <v>61</v>
      </c>
      <c r="H196">
        <v>8</v>
      </c>
      <c r="I196" t="s">
        <v>62</v>
      </c>
      <c r="J196">
        <v>2</v>
      </c>
      <c r="K196">
        <v>2</v>
      </c>
      <c r="L196" t="s">
        <v>63</v>
      </c>
      <c r="M196">
        <v>2</v>
      </c>
      <c r="N196">
        <v>0.47849999999999998</v>
      </c>
      <c r="O196">
        <v>0.4788</v>
      </c>
      <c r="P196">
        <v>10000</v>
      </c>
      <c r="Q196">
        <v>2508</v>
      </c>
      <c r="R196">
        <v>7492</v>
      </c>
      <c r="S196">
        <v>3.99</v>
      </c>
      <c r="T196">
        <v>2.99</v>
      </c>
      <c r="W196">
        <v>128</v>
      </c>
      <c r="X196">
        <v>0</v>
      </c>
      <c r="Y196">
        <v>98.72</v>
      </c>
      <c r="Z196">
        <v>94.9</v>
      </c>
      <c r="AB196">
        <v>358560000</v>
      </c>
      <c r="AC196">
        <v>4589568</v>
      </c>
      <c r="AD196">
        <v>358560000</v>
      </c>
      <c r="AE196">
        <v>4589568</v>
      </c>
      <c r="AG196">
        <v>5.0999999999999996</v>
      </c>
      <c r="AH196">
        <v>1.28</v>
      </c>
      <c r="AI196">
        <v>1</v>
      </c>
      <c r="AJ196">
        <v>3.987241</v>
      </c>
      <c r="AK196">
        <v>6.1000000000000004E-3</v>
      </c>
      <c r="AL196">
        <v>0.46</v>
      </c>
      <c r="AM196">
        <v>459</v>
      </c>
      <c r="AN196">
        <v>4.9000000000000002E-2</v>
      </c>
      <c r="AO196">
        <v>30</v>
      </c>
      <c r="AP196">
        <v>21.87</v>
      </c>
      <c r="AQ196">
        <v>0.72</v>
      </c>
      <c r="AR196">
        <v>-5.96</v>
      </c>
      <c r="AS196">
        <v>1.86</v>
      </c>
      <c r="AT196">
        <v>12.66</v>
      </c>
      <c r="AU196">
        <v>6666.69</v>
      </c>
      <c r="AV196">
        <v>35.81</v>
      </c>
      <c r="AW196">
        <v>15.24</v>
      </c>
      <c r="AX196">
        <v>11.89</v>
      </c>
      <c r="AY196">
        <v>20.641214999999999</v>
      </c>
      <c r="AZ196">
        <v>134.426952</v>
      </c>
      <c r="BA196">
        <v>-13.747790999999999</v>
      </c>
      <c r="BB196">
        <v>2.416976</v>
      </c>
      <c r="BC196">
        <v>13.747790999999999</v>
      </c>
      <c r="BD196">
        <v>29.317086</v>
      </c>
      <c r="BE196">
        <v>237.99430100000001</v>
      </c>
      <c r="BF196">
        <v>-10.745851999999999</v>
      </c>
      <c r="BG196">
        <v>7.2462</v>
      </c>
      <c r="BH196">
        <v>10.745851999999999</v>
      </c>
    </row>
    <row r="197" spans="1:60" x14ac:dyDescent="0.25">
      <c r="A197" t="s">
        <v>443</v>
      </c>
      <c r="B197" t="s">
        <v>444</v>
      </c>
      <c r="C197">
        <v>20</v>
      </c>
      <c r="D197" t="s">
        <v>360</v>
      </c>
      <c r="E197" cm="1">
        <f t="array" ref="E197">_xlfn.SWITCH(D197,"QPSK",0.1,"16QAM",0.25,"64QAM",0.5,"256QAM",0.8,"1024QAM",1,"")</f>
        <v>0.5</v>
      </c>
      <c r="F197" cm="1">
        <f t="array" ref="F197">_xlfn.SWITCH(D197,"QPSK",0.05,"16QAM",0.15,"64QAM",0.4,"256QAM",0.75,"1024QAM",1,"")</f>
        <v>0.4</v>
      </c>
      <c r="G197" t="s">
        <v>61</v>
      </c>
      <c r="H197">
        <v>1</v>
      </c>
      <c r="I197" t="s">
        <v>62</v>
      </c>
      <c r="J197">
        <v>2</v>
      </c>
      <c r="K197">
        <v>2</v>
      </c>
      <c r="L197" t="s">
        <v>63</v>
      </c>
      <c r="M197">
        <v>2</v>
      </c>
      <c r="N197">
        <v>0.47849999999999998</v>
      </c>
      <c r="O197">
        <v>0.4788</v>
      </c>
      <c r="P197">
        <v>10000</v>
      </c>
      <c r="Q197">
        <v>8051</v>
      </c>
      <c r="R197">
        <v>1949</v>
      </c>
      <c r="S197">
        <v>1.24</v>
      </c>
      <c r="T197">
        <v>0.24</v>
      </c>
      <c r="W197">
        <v>8051</v>
      </c>
      <c r="X197">
        <v>0</v>
      </c>
      <c r="Y197">
        <v>19.489999999999998</v>
      </c>
      <c r="Z197">
        <v>0</v>
      </c>
      <c r="AB197">
        <v>358560000</v>
      </c>
      <c r="AC197">
        <v>288676656</v>
      </c>
      <c r="AD197">
        <v>358560000</v>
      </c>
      <c r="AE197">
        <v>288676656</v>
      </c>
      <c r="AG197">
        <v>100</v>
      </c>
      <c r="AH197">
        <v>80.510000000000005</v>
      </c>
      <c r="AI197">
        <v>1</v>
      </c>
      <c r="AJ197">
        <v>1.2420819999999999</v>
      </c>
      <c r="AK197">
        <v>0.38550000000000001</v>
      </c>
      <c r="AL197">
        <v>28.87</v>
      </c>
      <c r="AM197">
        <v>28868</v>
      </c>
      <c r="AN197">
        <v>3.0842000000000001</v>
      </c>
      <c r="AO197">
        <v>30</v>
      </c>
      <c r="AP197">
        <v>21.87</v>
      </c>
      <c r="AQ197">
        <v>0.72</v>
      </c>
      <c r="AR197">
        <v>-6.11</v>
      </c>
      <c r="AS197">
        <v>1.94</v>
      </c>
      <c r="AT197">
        <v>25.77</v>
      </c>
      <c r="AU197">
        <v>6666.69</v>
      </c>
      <c r="AV197">
        <v>35.81</v>
      </c>
      <c r="AW197">
        <v>19.64</v>
      </c>
      <c r="AX197">
        <v>15.96</v>
      </c>
      <c r="AY197">
        <v>10.599517000000001</v>
      </c>
      <c r="AZ197">
        <v>56.381906999999998</v>
      </c>
      <c r="BA197">
        <v>-19.616416999999998</v>
      </c>
      <c r="BB197">
        <v>-5.5486279999999999</v>
      </c>
      <c r="BC197">
        <v>19.616416999999998</v>
      </c>
      <c r="BD197">
        <v>16.986837999999999</v>
      </c>
      <c r="BE197">
        <v>143.10957400000001</v>
      </c>
      <c r="BF197">
        <v>-15.532870000000001</v>
      </c>
      <c r="BG197">
        <v>2.6960980000000001</v>
      </c>
      <c r="BH197">
        <v>15.532870000000001</v>
      </c>
    </row>
    <row r="198" spans="1:60" x14ac:dyDescent="0.25">
      <c r="A198" t="s">
        <v>445</v>
      </c>
      <c r="B198" t="s">
        <v>446</v>
      </c>
      <c r="C198">
        <v>20</v>
      </c>
      <c r="D198" t="s">
        <v>360</v>
      </c>
      <c r="E198" cm="1">
        <f t="array" ref="E198">_xlfn.SWITCH(D198,"QPSK",0.1,"16QAM",0.25,"64QAM",0.5,"256QAM",0.8,"1024QAM",1,"")</f>
        <v>0.5</v>
      </c>
      <c r="F198" cm="1">
        <f t="array" ref="F198">_xlfn.SWITCH(D198,"QPSK",0.05,"16QAM",0.15,"64QAM",0.4,"256QAM",0.75,"1024QAM",1,"")</f>
        <v>0.4</v>
      </c>
      <c r="G198" t="s">
        <v>61</v>
      </c>
      <c r="H198">
        <v>4</v>
      </c>
      <c r="I198" t="s">
        <v>62</v>
      </c>
      <c r="J198">
        <v>2</v>
      </c>
      <c r="K198">
        <v>2</v>
      </c>
      <c r="L198" t="s">
        <v>63</v>
      </c>
      <c r="M198">
        <v>2</v>
      </c>
      <c r="N198">
        <v>0.47849999999999998</v>
      </c>
      <c r="O198">
        <v>0.4788</v>
      </c>
      <c r="P198">
        <v>10000</v>
      </c>
      <c r="Q198">
        <v>8004</v>
      </c>
      <c r="R198">
        <v>1996</v>
      </c>
      <c r="S198">
        <v>1.25</v>
      </c>
      <c r="T198">
        <v>0.25</v>
      </c>
      <c r="W198">
        <v>8001</v>
      </c>
      <c r="X198">
        <v>0</v>
      </c>
      <c r="Y198">
        <v>19.989999999999998</v>
      </c>
      <c r="Z198">
        <v>0.04</v>
      </c>
      <c r="AB198">
        <v>358560000</v>
      </c>
      <c r="AC198">
        <v>286883856</v>
      </c>
      <c r="AD198">
        <v>358560000</v>
      </c>
      <c r="AE198">
        <v>286883856</v>
      </c>
      <c r="AG198">
        <v>99.96</v>
      </c>
      <c r="AH198">
        <v>80.010000000000005</v>
      </c>
      <c r="AI198">
        <v>1</v>
      </c>
      <c r="AJ198">
        <v>1.2493749999999999</v>
      </c>
      <c r="AK198">
        <v>0.3831</v>
      </c>
      <c r="AL198">
        <v>28.69</v>
      </c>
      <c r="AM198">
        <v>28688</v>
      </c>
      <c r="AN198">
        <v>3.0649999999999999</v>
      </c>
      <c r="AO198">
        <v>30</v>
      </c>
      <c r="AP198">
        <v>21.87</v>
      </c>
      <c r="AQ198">
        <v>0.72</v>
      </c>
      <c r="AR198">
        <v>-6.11</v>
      </c>
      <c r="AS198">
        <v>1.94</v>
      </c>
      <c r="AT198">
        <v>25.77</v>
      </c>
      <c r="AU198">
        <v>6666.69</v>
      </c>
      <c r="AV198">
        <v>35.81</v>
      </c>
      <c r="AW198">
        <v>19.64</v>
      </c>
      <c r="AX198">
        <v>15.96</v>
      </c>
      <c r="AY198">
        <v>10.600769</v>
      </c>
      <c r="AZ198">
        <v>56.484501999999999</v>
      </c>
      <c r="BA198">
        <v>-19.615328999999999</v>
      </c>
      <c r="BB198">
        <v>-5.5373770000000002</v>
      </c>
      <c r="BC198">
        <v>19.615328999999999</v>
      </c>
      <c r="BD198">
        <v>16.984442999999999</v>
      </c>
      <c r="BE198">
        <v>142.638868</v>
      </c>
      <c r="BF198">
        <v>-15.534490999999999</v>
      </c>
      <c r="BG198">
        <v>2.6593900000000001</v>
      </c>
      <c r="BH198">
        <v>15.534490999999999</v>
      </c>
    </row>
    <row r="199" spans="1:60" x14ac:dyDescent="0.25">
      <c r="A199" t="s">
        <v>447</v>
      </c>
      <c r="B199" t="s">
        <v>448</v>
      </c>
      <c r="C199">
        <v>20</v>
      </c>
      <c r="D199" t="s">
        <v>360</v>
      </c>
      <c r="E199" cm="1">
        <f t="array" ref="E199">_xlfn.SWITCH(D199,"QPSK",0.1,"16QAM",0.25,"64QAM",0.5,"256QAM",0.8,"1024QAM",1,"")</f>
        <v>0.5</v>
      </c>
      <c r="F199" cm="1">
        <f t="array" ref="F199">_xlfn.SWITCH(D199,"QPSK",0.05,"16QAM",0.15,"64QAM",0.4,"256QAM",0.75,"1024QAM",1,"")</f>
        <v>0.4</v>
      </c>
      <c r="G199" t="s">
        <v>61</v>
      </c>
      <c r="H199">
        <v>8</v>
      </c>
      <c r="I199" t="s">
        <v>62</v>
      </c>
      <c r="J199">
        <v>2</v>
      </c>
      <c r="K199">
        <v>2</v>
      </c>
      <c r="L199" t="s">
        <v>63</v>
      </c>
      <c r="M199">
        <v>2</v>
      </c>
      <c r="N199">
        <v>0.47849999999999998</v>
      </c>
      <c r="O199">
        <v>0.4788</v>
      </c>
      <c r="P199">
        <v>10000</v>
      </c>
      <c r="Q199">
        <v>7946</v>
      </c>
      <c r="R199">
        <v>2054</v>
      </c>
      <c r="S199">
        <v>1.26</v>
      </c>
      <c r="T199">
        <v>0.26</v>
      </c>
      <c r="W199">
        <v>7941</v>
      </c>
      <c r="X199">
        <v>0</v>
      </c>
      <c r="Y199">
        <v>20.59</v>
      </c>
      <c r="Z199">
        <v>0.06</v>
      </c>
      <c r="AB199">
        <v>358560000</v>
      </c>
      <c r="AC199">
        <v>284732496</v>
      </c>
      <c r="AD199">
        <v>358560000</v>
      </c>
      <c r="AE199">
        <v>284732496</v>
      </c>
      <c r="AG199">
        <v>99.94</v>
      </c>
      <c r="AH199">
        <v>79.41</v>
      </c>
      <c r="AI199">
        <v>1</v>
      </c>
      <c r="AJ199">
        <v>1.2584949999999999</v>
      </c>
      <c r="AK199">
        <v>0.38030000000000003</v>
      </c>
      <c r="AL199">
        <v>28.47</v>
      </c>
      <c r="AM199">
        <v>28473</v>
      </c>
      <c r="AN199">
        <v>3.0419999999999998</v>
      </c>
      <c r="AO199">
        <v>30</v>
      </c>
      <c r="AP199">
        <v>21.87</v>
      </c>
      <c r="AQ199">
        <v>0.72</v>
      </c>
      <c r="AR199">
        <v>-6.11</v>
      </c>
      <c r="AS199">
        <v>1.94</v>
      </c>
      <c r="AT199">
        <v>25.64</v>
      </c>
      <c r="AU199">
        <v>6666.69</v>
      </c>
      <c r="AV199">
        <v>35.81</v>
      </c>
      <c r="AW199">
        <v>19.64</v>
      </c>
      <c r="AX199">
        <v>15.96</v>
      </c>
      <c r="AY199">
        <v>10.600201999999999</v>
      </c>
      <c r="AZ199">
        <v>56.476717000000001</v>
      </c>
      <c r="BA199">
        <v>-19.615549999999999</v>
      </c>
      <c r="BB199">
        <v>-5.5389340000000002</v>
      </c>
      <c r="BC199">
        <v>19.615549999999999</v>
      </c>
      <c r="BD199">
        <v>16.979928999999998</v>
      </c>
      <c r="BE199">
        <v>142.54262199999999</v>
      </c>
      <c r="BF199">
        <v>-15.536339999999999</v>
      </c>
      <c r="BG199">
        <v>2.6623730000000001</v>
      </c>
      <c r="BH199">
        <v>15.536339999999999</v>
      </c>
    </row>
    <row r="200" spans="1:60" x14ac:dyDescent="0.25">
      <c r="A200" t="s">
        <v>449</v>
      </c>
      <c r="B200" t="s">
        <v>450</v>
      </c>
      <c r="C200">
        <v>22</v>
      </c>
      <c r="D200" t="s">
        <v>360</v>
      </c>
      <c r="E200" cm="1">
        <f t="array" ref="E200">_xlfn.SWITCH(D200,"QPSK",0.1,"16QAM",0.25,"64QAM",0.5,"256QAM",0.8,"1024QAM",1,"")</f>
        <v>0.5</v>
      </c>
      <c r="F200" cm="1">
        <f t="array" ref="F200">_xlfn.SWITCH(D200,"QPSK",0.05,"16QAM",0.15,"64QAM",0.4,"256QAM",0.75,"1024QAM",1,"")</f>
        <v>0.4</v>
      </c>
      <c r="G200" t="s">
        <v>61</v>
      </c>
      <c r="H200">
        <v>1</v>
      </c>
      <c r="I200" t="s">
        <v>62</v>
      </c>
      <c r="J200">
        <v>2</v>
      </c>
      <c r="K200">
        <v>2</v>
      </c>
      <c r="L200" t="s">
        <v>63</v>
      </c>
      <c r="M200">
        <v>2</v>
      </c>
      <c r="N200">
        <v>0.47849999999999998</v>
      </c>
      <c r="O200">
        <v>0.4788</v>
      </c>
      <c r="P200">
        <v>10000</v>
      </c>
      <c r="Q200">
        <v>8884</v>
      </c>
      <c r="R200">
        <v>1116</v>
      </c>
      <c r="S200">
        <v>1.1299999999999999</v>
      </c>
      <c r="T200">
        <v>0.13</v>
      </c>
      <c r="W200">
        <v>8884</v>
      </c>
      <c r="X200">
        <v>0</v>
      </c>
      <c r="Y200">
        <v>11.16</v>
      </c>
      <c r="Z200">
        <v>0</v>
      </c>
      <c r="AB200">
        <v>358560000</v>
      </c>
      <c r="AC200">
        <v>318544704</v>
      </c>
      <c r="AD200">
        <v>358560000</v>
      </c>
      <c r="AE200">
        <v>318544704</v>
      </c>
      <c r="AG200">
        <v>100</v>
      </c>
      <c r="AH200">
        <v>88.84</v>
      </c>
      <c r="AI200">
        <v>1</v>
      </c>
      <c r="AJ200">
        <v>1.1256189999999999</v>
      </c>
      <c r="AK200">
        <v>0.4254</v>
      </c>
      <c r="AL200">
        <v>31.85</v>
      </c>
      <c r="AM200">
        <v>31854</v>
      </c>
      <c r="AN200">
        <v>3.4033000000000002</v>
      </c>
      <c r="AO200">
        <v>30</v>
      </c>
      <c r="AP200">
        <v>21.87</v>
      </c>
      <c r="AQ200">
        <v>0.72</v>
      </c>
      <c r="AR200">
        <v>-6.12</v>
      </c>
      <c r="AS200">
        <v>1.94</v>
      </c>
      <c r="AT200">
        <v>28.26</v>
      </c>
      <c r="AU200">
        <v>6666.69</v>
      </c>
      <c r="AV200">
        <v>35.81</v>
      </c>
      <c r="AW200">
        <v>20.71</v>
      </c>
      <c r="AX200">
        <v>16.45</v>
      </c>
      <c r="AY200">
        <v>9.4014360000000003</v>
      </c>
      <c r="AZ200">
        <v>49.891554999999997</v>
      </c>
      <c r="BA200">
        <v>-20.696688999999999</v>
      </c>
      <c r="BB200">
        <v>-6.6243559999999997</v>
      </c>
      <c r="BC200">
        <v>20.696688999999999</v>
      </c>
      <c r="BD200">
        <v>15.790490999999999</v>
      </c>
      <c r="BE200">
        <v>134.429103</v>
      </c>
      <c r="BF200">
        <v>-16.181630999999999</v>
      </c>
      <c r="BG200">
        <v>2.0650379999999999</v>
      </c>
      <c r="BH200">
        <v>16.181630999999999</v>
      </c>
    </row>
    <row r="201" spans="1:60" x14ac:dyDescent="0.25">
      <c r="A201" t="s">
        <v>451</v>
      </c>
      <c r="B201" t="s">
        <v>452</v>
      </c>
      <c r="C201">
        <v>22</v>
      </c>
      <c r="D201" t="s">
        <v>360</v>
      </c>
      <c r="E201" cm="1">
        <f t="array" ref="E201">_xlfn.SWITCH(D201,"QPSK",0.1,"16QAM",0.25,"64QAM",0.5,"256QAM",0.8,"1024QAM",1,"")</f>
        <v>0.5</v>
      </c>
      <c r="F201" cm="1">
        <f t="array" ref="F201">_xlfn.SWITCH(D201,"QPSK",0.05,"16QAM",0.15,"64QAM",0.4,"256QAM",0.75,"1024QAM",1,"")</f>
        <v>0.4</v>
      </c>
      <c r="G201" t="s">
        <v>61</v>
      </c>
      <c r="H201">
        <v>4</v>
      </c>
      <c r="I201" t="s">
        <v>62</v>
      </c>
      <c r="J201">
        <v>2</v>
      </c>
      <c r="K201">
        <v>2</v>
      </c>
      <c r="L201" t="s">
        <v>63</v>
      </c>
      <c r="M201">
        <v>2</v>
      </c>
      <c r="N201">
        <v>0.47849999999999998</v>
      </c>
      <c r="O201">
        <v>0.4788</v>
      </c>
      <c r="P201">
        <v>10000</v>
      </c>
      <c r="Q201">
        <v>8855</v>
      </c>
      <c r="R201">
        <v>1145</v>
      </c>
      <c r="S201">
        <v>1.1299999999999999</v>
      </c>
      <c r="T201">
        <v>0.13</v>
      </c>
      <c r="W201">
        <v>8853</v>
      </c>
      <c r="X201">
        <v>0</v>
      </c>
      <c r="Y201">
        <v>11.47</v>
      </c>
      <c r="Z201">
        <v>0.02</v>
      </c>
      <c r="AB201">
        <v>358560000</v>
      </c>
      <c r="AC201">
        <v>317433168</v>
      </c>
      <c r="AD201">
        <v>358560000</v>
      </c>
      <c r="AE201">
        <v>317433168</v>
      </c>
      <c r="AG201">
        <v>99.98</v>
      </c>
      <c r="AH201">
        <v>88.53</v>
      </c>
      <c r="AI201">
        <v>1</v>
      </c>
      <c r="AJ201">
        <v>1.129305</v>
      </c>
      <c r="AK201">
        <v>0.4239</v>
      </c>
      <c r="AL201">
        <v>31.74</v>
      </c>
      <c r="AM201">
        <v>31743</v>
      </c>
      <c r="AN201">
        <v>3.3914</v>
      </c>
      <c r="AO201">
        <v>30</v>
      </c>
      <c r="AP201">
        <v>21.87</v>
      </c>
      <c r="AQ201">
        <v>0.72</v>
      </c>
      <c r="AR201">
        <v>-6.12</v>
      </c>
      <c r="AS201">
        <v>1.94</v>
      </c>
      <c r="AT201">
        <v>28.25</v>
      </c>
      <c r="AU201">
        <v>6666.69</v>
      </c>
      <c r="AV201">
        <v>35.81</v>
      </c>
      <c r="AW201">
        <v>20.71</v>
      </c>
      <c r="AX201">
        <v>16.45</v>
      </c>
      <c r="AY201">
        <v>9.4027989999999999</v>
      </c>
      <c r="AZ201">
        <v>49.763736000000002</v>
      </c>
      <c r="BA201">
        <v>-20.695371000000002</v>
      </c>
      <c r="BB201">
        <v>-6.646668</v>
      </c>
      <c r="BC201">
        <v>20.695371000000002</v>
      </c>
      <c r="BD201">
        <v>15.794245999999999</v>
      </c>
      <c r="BE201">
        <v>134.671087</v>
      </c>
      <c r="BF201">
        <v>-16.180374</v>
      </c>
      <c r="BG201">
        <v>2.0837780000000001</v>
      </c>
      <c r="BH201">
        <v>16.180374</v>
      </c>
    </row>
    <row r="202" spans="1:60" x14ac:dyDescent="0.25">
      <c r="A202" t="s">
        <v>453</v>
      </c>
      <c r="B202" t="s">
        <v>454</v>
      </c>
      <c r="C202">
        <v>22</v>
      </c>
      <c r="D202" t="s">
        <v>360</v>
      </c>
      <c r="E202" cm="1">
        <f t="array" ref="E202">_xlfn.SWITCH(D202,"QPSK",0.1,"16QAM",0.25,"64QAM",0.5,"256QAM",0.8,"1024QAM",1,"")</f>
        <v>0.5</v>
      </c>
      <c r="F202" cm="1">
        <f t="array" ref="F202">_xlfn.SWITCH(D202,"QPSK",0.05,"16QAM",0.15,"64QAM",0.4,"256QAM",0.75,"1024QAM",1,"")</f>
        <v>0.4</v>
      </c>
      <c r="G202" t="s">
        <v>61</v>
      </c>
      <c r="H202">
        <v>8</v>
      </c>
      <c r="I202" t="s">
        <v>62</v>
      </c>
      <c r="J202">
        <v>2</v>
      </c>
      <c r="K202">
        <v>2</v>
      </c>
      <c r="L202" t="s">
        <v>63</v>
      </c>
      <c r="M202">
        <v>2</v>
      </c>
      <c r="N202">
        <v>0.47849999999999998</v>
      </c>
      <c r="O202">
        <v>0.4788</v>
      </c>
      <c r="P202">
        <v>10000</v>
      </c>
      <c r="Q202">
        <v>8805</v>
      </c>
      <c r="R202">
        <v>1195</v>
      </c>
      <c r="S202">
        <v>1.1399999999999999</v>
      </c>
      <c r="T202">
        <v>0.14000000000000001</v>
      </c>
      <c r="W202">
        <v>8802</v>
      </c>
      <c r="X202">
        <v>0</v>
      </c>
      <c r="Y202">
        <v>11.98</v>
      </c>
      <c r="Z202">
        <v>0.03</v>
      </c>
      <c r="AB202">
        <v>358560000</v>
      </c>
      <c r="AC202">
        <v>315604512</v>
      </c>
      <c r="AD202">
        <v>358560000</v>
      </c>
      <c r="AE202">
        <v>315604512</v>
      </c>
      <c r="AG202">
        <v>99.97</v>
      </c>
      <c r="AH202">
        <v>88.02</v>
      </c>
      <c r="AI202">
        <v>1</v>
      </c>
      <c r="AJ202">
        <v>1.135718</v>
      </c>
      <c r="AK202">
        <v>0.42149999999999999</v>
      </c>
      <c r="AL202">
        <v>31.56</v>
      </c>
      <c r="AM202">
        <v>31560</v>
      </c>
      <c r="AN202">
        <v>3.3717999999999999</v>
      </c>
      <c r="AO202">
        <v>30</v>
      </c>
      <c r="AP202">
        <v>21.87</v>
      </c>
      <c r="AQ202">
        <v>0.72</v>
      </c>
      <c r="AR202">
        <v>-6.12</v>
      </c>
      <c r="AS202">
        <v>1.94</v>
      </c>
      <c r="AT202">
        <v>27.72</v>
      </c>
      <c r="AU202">
        <v>6666.69</v>
      </c>
      <c r="AV202">
        <v>35.81</v>
      </c>
      <c r="AW202">
        <v>20.71</v>
      </c>
      <c r="AX202">
        <v>16.46</v>
      </c>
      <c r="AY202">
        <v>9.4032719999999994</v>
      </c>
      <c r="AZ202">
        <v>49.857497000000002</v>
      </c>
      <c r="BA202">
        <v>-20.695022000000002</v>
      </c>
      <c r="BB202">
        <v>-6.6410159999999996</v>
      </c>
      <c r="BC202">
        <v>20.695022000000002</v>
      </c>
      <c r="BD202">
        <v>15.787938</v>
      </c>
      <c r="BE202">
        <v>134.29735400000001</v>
      </c>
      <c r="BF202">
        <v>-16.18404</v>
      </c>
      <c r="BG202">
        <v>2.0510830000000002</v>
      </c>
      <c r="BH202">
        <v>16.18404</v>
      </c>
    </row>
    <row r="203" spans="1:60" x14ac:dyDescent="0.25">
      <c r="A203" t="s">
        <v>455</v>
      </c>
      <c r="B203" t="s">
        <v>456</v>
      </c>
      <c r="C203">
        <v>24</v>
      </c>
      <c r="D203" t="s">
        <v>360</v>
      </c>
      <c r="E203" cm="1">
        <f t="array" ref="E203">_xlfn.SWITCH(D203,"QPSK",0.1,"16QAM",0.25,"64QAM",0.5,"256QAM",0.8,"1024QAM",1,"")</f>
        <v>0.5</v>
      </c>
      <c r="F203" cm="1">
        <f t="array" ref="F203">_xlfn.SWITCH(D203,"QPSK",0.05,"16QAM",0.15,"64QAM",0.4,"256QAM",0.75,"1024QAM",1,"")</f>
        <v>0.4</v>
      </c>
      <c r="G203" t="s">
        <v>61</v>
      </c>
      <c r="H203">
        <v>1</v>
      </c>
      <c r="I203" t="s">
        <v>62</v>
      </c>
      <c r="J203">
        <v>2</v>
      </c>
      <c r="K203">
        <v>2</v>
      </c>
      <c r="L203" t="s">
        <v>63</v>
      </c>
      <c r="M203">
        <v>2</v>
      </c>
      <c r="N203">
        <v>0.47849999999999998</v>
      </c>
      <c r="O203">
        <v>0.4788</v>
      </c>
      <c r="P203">
        <v>10000</v>
      </c>
      <c r="Q203">
        <v>9563</v>
      </c>
      <c r="R203">
        <v>437</v>
      </c>
      <c r="S203">
        <v>1.05</v>
      </c>
      <c r="T203">
        <v>0.05</v>
      </c>
      <c r="W203">
        <v>9563</v>
      </c>
      <c r="X203">
        <v>0</v>
      </c>
      <c r="Y203">
        <v>4.37</v>
      </c>
      <c r="Z203">
        <v>0</v>
      </c>
      <c r="AB203">
        <v>358560000</v>
      </c>
      <c r="AC203">
        <v>342890928</v>
      </c>
      <c r="AD203">
        <v>358560000</v>
      </c>
      <c r="AE203">
        <v>342890928</v>
      </c>
      <c r="AG203">
        <v>100</v>
      </c>
      <c r="AH203">
        <v>95.63</v>
      </c>
      <c r="AI203">
        <v>1</v>
      </c>
      <c r="AJ203">
        <v>1.0456970000000001</v>
      </c>
      <c r="AK203">
        <v>0.45789999999999997</v>
      </c>
      <c r="AL203">
        <v>34.29</v>
      </c>
      <c r="AM203">
        <v>34289</v>
      </c>
      <c r="AN203">
        <v>3.6634000000000002</v>
      </c>
      <c r="AO203">
        <v>30</v>
      </c>
      <c r="AP203">
        <v>21.87</v>
      </c>
      <c r="AQ203">
        <v>0.72</v>
      </c>
      <c r="AR203">
        <v>-6.13</v>
      </c>
      <c r="AS203">
        <v>1.94</v>
      </c>
      <c r="AT203">
        <v>31.78</v>
      </c>
      <c r="AU203">
        <v>6666.69</v>
      </c>
      <c r="AV203">
        <v>35.81</v>
      </c>
      <c r="AW203">
        <v>21.88</v>
      </c>
      <c r="AX203">
        <v>17.05</v>
      </c>
      <c r="AY203">
        <v>8.2528649999999999</v>
      </c>
      <c r="AZ203">
        <v>44.180500000000002</v>
      </c>
      <c r="BA203">
        <v>-21.868957000000002</v>
      </c>
      <c r="BB203">
        <v>-7.7443340000000003</v>
      </c>
      <c r="BC203">
        <v>21.868957000000002</v>
      </c>
      <c r="BD203">
        <v>14.595521</v>
      </c>
      <c r="BE203">
        <v>125.735899</v>
      </c>
      <c r="BF203">
        <v>-16.880348999999999</v>
      </c>
      <c r="BG203">
        <v>1.410137</v>
      </c>
      <c r="BH203">
        <v>16.880348999999999</v>
      </c>
    </row>
    <row r="204" spans="1:60" x14ac:dyDescent="0.25">
      <c r="A204" t="s">
        <v>457</v>
      </c>
      <c r="B204" t="s">
        <v>458</v>
      </c>
      <c r="C204">
        <v>24</v>
      </c>
      <c r="D204" t="s">
        <v>360</v>
      </c>
      <c r="E204" cm="1">
        <f t="array" ref="E204">_xlfn.SWITCH(D204,"QPSK",0.1,"16QAM",0.25,"64QAM",0.5,"256QAM",0.8,"1024QAM",1,"")</f>
        <v>0.5</v>
      </c>
      <c r="F204" cm="1">
        <f t="array" ref="F204">_xlfn.SWITCH(D204,"QPSK",0.05,"16QAM",0.15,"64QAM",0.4,"256QAM",0.75,"1024QAM",1,"")</f>
        <v>0.4</v>
      </c>
      <c r="G204" t="s">
        <v>61</v>
      </c>
      <c r="H204">
        <v>4</v>
      </c>
      <c r="I204" t="s">
        <v>62</v>
      </c>
      <c r="J204">
        <v>2</v>
      </c>
      <c r="K204">
        <v>2</v>
      </c>
      <c r="L204" t="s">
        <v>63</v>
      </c>
      <c r="M204">
        <v>2</v>
      </c>
      <c r="N204">
        <v>0.47849999999999998</v>
      </c>
      <c r="O204">
        <v>0.4788</v>
      </c>
      <c r="P204">
        <v>10000</v>
      </c>
      <c r="Q204">
        <v>9533</v>
      </c>
      <c r="R204">
        <v>467</v>
      </c>
      <c r="S204">
        <v>1.05</v>
      </c>
      <c r="T204">
        <v>0.05</v>
      </c>
      <c r="W204">
        <v>9532</v>
      </c>
      <c r="X204">
        <v>0</v>
      </c>
      <c r="Y204">
        <v>4.68</v>
      </c>
      <c r="Z204">
        <v>0.01</v>
      </c>
      <c r="AB204">
        <v>358560000</v>
      </c>
      <c r="AC204">
        <v>341779392</v>
      </c>
      <c r="AD204">
        <v>358560000</v>
      </c>
      <c r="AE204">
        <v>341779392</v>
      </c>
      <c r="AG204">
        <v>99.99</v>
      </c>
      <c r="AH204">
        <v>95.32</v>
      </c>
      <c r="AI204">
        <v>1</v>
      </c>
      <c r="AJ204">
        <v>1.048988</v>
      </c>
      <c r="AK204">
        <v>0.45639999999999997</v>
      </c>
      <c r="AL204">
        <v>34.18</v>
      </c>
      <c r="AM204">
        <v>34178</v>
      </c>
      <c r="AN204">
        <v>3.6515</v>
      </c>
      <c r="AO204">
        <v>30</v>
      </c>
      <c r="AP204">
        <v>21.87</v>
      </c>
      <c r="AQ204">
        <v>0.72</v>
      </c>
      <c r="AR204">
        <v>-6.13</v>
      </c>
      <c r="AS204">
        <v>1.94</v>
      </c>
      <c r="AT204">
        <v>31.55</v>
      </c>
      <c r="AU204">
        <v>6666.69</v>
      </c>
      <c r="AV204">
        <v>35.81</v>
      </c>
      <c r="AW204">
        <v>21.88</v>
      </c>
      <c r="AX204">
        <v>17.05</v>
      </c>
      <c r="AY204">
        <v>8.2565779999999993</v>
      </c>
      <c r="AZ204">
        <v>44.247923999999998</v>
      </c>
      <c r="BA204">
        <v>-21.865949000000001</v>
      </c>
      <c r="BB204">
        <v>-7.7366520000000003</v>
      </c>
      <c r="BC204">
        <v>21.865949000000001</v>
      </c>
      <c r="BD204">
        <v>14.595572000000001</v>
      </c>
      <c r="BE204">
        <v>125.345286</v>
      </c>
      <c r="BF204">
        <v>-16.880714000000001</v>
      </c>
      <c r="BG204">
        <v>1.3709800000000001</v>
      </c>
      <c r="BH204">
        <v>16.880714000000001</v>
      </c>
    </row>
    <row r="205" spans="1:60" x14ac:dyDescent="0.25">
      <c r="A205" t="s">
        <v>459</v>
      </c>
      <c r="B205" t="s">
        <v>460</v>
      </c>
      <c r="C205">
        <v>24</v>
      </c>
      <c r="D205" t="s">
        <v>360</v>
      </c>
      <c r="E205" cm="1">
        <f t="array" ref="E205">_xlfn.SWITCH(D205,"QPSK",0.1,"16QAM",0.25,"64QAM",0.5,"256QAM",0.8,"1024QAM",1,"")</f>
        <v>0.5</v>
      </c>
      <c r="F205" cm="1">
        <f t="array" ref="F205">_xlfn.SWITCH(D205,"QPSK",0.05,"16QAM",0.15,"64QAM",0.4,"256QAM",0.75,"1024QAM",1,"")</f>
        <v>0.4</v>
      </c>
      <c r="G205" t="s">
        <v>61</v>
      </c>
      <c r="H205">
        <v>8</v>
      </c>
      <c r="I205" t="s">
        <v>62</v>
      </c>
      <c r="J205">
        <v>2</v>
      </c>
      <c r="K205">
        <v>2</v>
      </c>
      <c r="L205" t="s">
        <v>63</v>
      </c>
      <c r="M205">
        <v>2</v>
      </c>
      <c r="N205">
        <v>0.47849999999999998</v>
      </c>
      <c r="O205">
        <v>0.4788</v>
      </c>
      <c r="P205">
        <v>10000</v>
      </c>
      <c r="Q205">
        <v>9484</v>
      </c>
      <c r="R205">
        <v>516</v>
      </c>
      <c r="S205">
        <v>1.05</v>
      </c>
      <c r="T205">
        <v>0.05</v>
      </c>
      <c r="W205">
        <v>9477</v>
      </c>
      <c r="X205">
        <v>0</v>
      </c>
      <c r="Y205">
        <v>5.23</v>
      </c>
      <c r="Z205">
        <v>7.0000000000000007E-2</v>
      </c>
      <c r="AB205">
        <v>358560000</v>
      </c>
      <c r="AC205">
        <v>339807312</v>
      </c>
      <c r="AD205">
        <v>358560000</v>
      </c>
      <c r="AE205">
        <v>339807312</v>
      </c>
      <c r="AG205">
        <v>99.93</v>
      </c>
      <c r="AH205">
        <v>94.77</v>
      </c>
      <c r="AI205">
        <v>1</v>
      </c>
      <c r="AJ205">
        <v>1.0544070000000001</v>
      </c>
      <c r="AK205">
        <v>0.45379999999999998</v>
      </c>
      <c r="AL205">
        <v>33.979999999999997</v>
      </c>
      <c r="AM205">
        <v>33981</v>
      </c>
      <c r="AN205">
        <v>3.6303999999999998</v>
      </c>
      <c r="AO205">
        <v>30</v>
      </c>
      <c r="AP205">
        <v>21.87</v>
      </c>
      <c r="AQ205">
        <v>0.72</v>
      </c>
      <c r="AR205">
        <v>-6.13</v>
      </c>
      <c r="AS205">
        <v>1.94</v>
      </c>
      <c r="AT205">
        <v>31.57</v>
      </c>
      <c r="AU205">
        <v>6666.69</v>
      </c>
      <c r="AV205">
        <v>35.81</v>
      </c>
      <c r="AW205">
        <v>21.88</v>
      </c>
      <c r="AX205">
        <v>17.05</v>
      </c>
      <c r="AY205">
        <v>8.2558019999999992</v>
      </c>
      <c r="AZ205">
        <v>44.381959999999999</v>
      </c>
      <c r="BA205">
        <v>-21.866311</v>
      </c>
      <c r="BB205">
        <v>-7.6981900000000003</v>
      </c>
      <c r="BC205">
        <v>21.866311</v>
      </c>
      <c r="BD205">
        <v>14.599282000000001</v>
      </c>
      <c r="BE205">
        <v>125.50885700000001</v>
      </c>
      <c r="BF205">
        <v>-16.878792000000001</v>
      </c>
      <c r="BG205">
        <v>1.3847210000000001</v>
      </c>
      <c r="BH205">
        <v>16.878792000000001</v>
      </c>
    </row>
    <row r="206" spans="1:60" x14ac:dyDescent="0.25">
      <c r="A206" t="s">
        <v>461</v>
      </c>
      <c r="B206" t="s">
        <v>462</v>
      </c>
      <c r="C206">
        <v>4</v>
      </c>
      <c r="D206" t="s">
        <v>360</v>
      </c>
      <c r="E206" cm="1">
        <f t="array" ref="E206">_xlfn.SWITCH(D206,"QPSK",0.1,"16QAM",0.25,"64QAM",0.5,"256QAM",0.8,"1024QAM",1,"")</f>
        <v>0.5</v>
      </c>
      <c r="F206" cm="1">
        <f t="array" ref="F206">_xlfn.SWITCH(D206,"QPSK",0.05,"16QAM",0.15,"64QAM",0.4,"256QAM",0.75,"1024QAM",1,"")</f>
        <v>0.4</v>
      </c>
      <c r="G206" t="s">
        <v>61</v>
      </c>
      <c r="H206">
        <v>16</v>
      </c>
      <c r="I206" t="s">
        <v>62</v>
      </c>
      <c r="J206">
        <v>2</v>
      </c>
      <c r="K206">
        <v>2</v>
      </c>
      <c r="L206" t="s">
        <v>63</v>
      </c>
      <c r="M206">
        <v>2</v>
      </c>
      <c r="N206">
        <v>0.47849999999999998</v>
      </c>
      <c r="O206">
        <v>0.4788</v>
      </c>
      <c r="P206">
        <v>5000</v>
      </c>
      <c r="Q206">
        <v>1303</v>
      </c>
      <c r="R206">
        <v>3697</v>
      </c>
      <c r="S206">
        <v>3.84</v>
      </c>
      <c r="T206">
        <v>283.73</v>
      </c>
      <c r="W206">
        <v>353</v>
      </c>
      <c r="X206">
        <v>938</v>
      </c>
      <c r="Y206">
        <v>92.94</v>
      </c>
      <c r="Z206">
        <v>72.91</v>
      </c>
      <c r="AB206">
        <v>179280000</v>
      </c>
      <c r="AC206">
        <v>12657168</v>
      </c>
      <c r="AD206">
        <v>179280000</v>
      </c>
      <c r="AE206">
        <v>12657168</v>
      </c>
      <c r="AF206">
        <v>374400000</v>
      </c>
      <c r="AG206">
        <v>27.09</v>
      </c>
      <c r="AH206">
        <v>7.06</v>
      </c>
      <c r="AI206">
        <v>1</v>
      </c>
      <c r="AJ206">
        <v>3.8372989999999998</v>
      </c>
      <c r="AK206">
        <v>3.3799999999999997E-2</v>
      </c>
      <c r="AL206">
        <v>2.5299999999999998</v>
      </c>
      <c r="AM206">
        <v>2531</v>
      </c>
      <c r="AN206">
        <v>0.27050000000000002</v>
      </c>
      <c r="AO206">
        <v>30</v>
      </c>
      <c r="AP206">
        <v>21.87</v>
      </c>
      <c r="AQ206">
        <v>0.72</v>
      </c>
      <c r="AR206">
        <v>-5.89</v>
      </c>
      <c r="AS206">
        <v>1.92</v>
      </c>
      <c r="AT206">
        <v>16.36</v>
      </c>
      <c r="AU206">
        <v>6666.69</v>
      </c>
      <c r="AV206">
        <v>35.81</v>
      </c>
      <c r="AW206">
        <v>15.66</v>
      </c>
      <c r="AX206">
        <v>12.89</v>
      </c>
      <c r="AY206">
        <v>18.850762</v>
      </c>
      <c r="AZ206">
        <v>115.290992</v>
      </c>
      <c r="BA206">
        <v>-14.539160000000001</v>
      </c>
      <c r="BB206">
        <v>1.0610679999999999</v>
      </c>
      <c r="BC206">
        <v>14.539160000000001</v>
      </c>
      <c r="BD206">
        <v>27.652985999999999</v>
      </c>
      <c r="BE206">
        <v>213.44050999999999</v>
      </c>
      <c r="BF206">
        <v>-11.263707999999999</v>
      </c>
      <c r="BG206">
        <v>6.2946819999999999</v>
      </c>
      <c r="BH206">
        <v>11.263707999999999</v>
      </c>
    </row>
    <row r="207" spans="1:60" x14ac:dyDescent="0.25">
      <c r="A207" t="s">
        <v>463</v>
      </c>
      <c r="B207" t="s">
        <v>464</v>
      </c>
      <c r="C207">
        <v>4</v>
      </c>
      <c r="D207" t="s">
        <v>360</v>
      </c>
      <c r="E207" cm="1">
        <f t="array" ref="E207">_xlfn.SWITCH(D207,"QPSK",0.1,"16QAM",0.25,"64QAM",0.5,"256QAM",0.8,"1024QAM",1,"")</f>
        <v>0.5</v>
      </c>
      <c r="F207" cm="1">
        <f t="array" ref="F207">_xlfn.SWITCH(D207,"QPSK",0.05,"16QAM",0.15,"64QAM",0.4,"256QAM",0.75,"1024QAM",1,"")</f>
        <v>0.4</v>
      </c>
      <c r="G207" t="s">
        <v>61</v>
      </c>
      <c r="H207">
        <v>1</v>
      </c>
      <c r="I207" t="s">
        <v>62</v>
      </c>
      <c r="J207">
        <v>2</v>
      </c>
      <c r="K207">
        <v>2</v>
      </c>
      <c r="L207" t="s">
        <v>63</v>
      </c>
      <c r="M207">
        <v>2</v>
      </c>
      <c r="N207">
        <v>0.47849999999999998</v>
      </c>
      <c r="O207">
        <v>0.4788</v>
      </c>
      <c r="P207">
        <v>10000</v>
      </c>
      <c r="Q207">
        <v>2587</v>
      </c>
      <c r="R207">
        <v>7413</v>
      </c>
      <c r="S207">
        <v>3.87</v>
      </c>
      <c r="T207">
        <v>2.87</v>
      </c>
      <c r="W207">
        <v>773</v>
      </c>
      <c r="X207">
        <v>0</v>
      </c>
      <c r="Y207">
        <v>92.27</v>
      </c>
      <c r="Z207">
        <v>70.12</v>
      </c>
      <c r="AB207">
        <v>358560000</v>
      </c>
      <c r="AC207">
        <v>27716688</v>
      </c>
      <c r="AD207">
        <v>358560000</v>
      </c>
      <c r="AE207">
        <v>27716688</v>
      </c>
      <c r="AG207">
        <v>29.88</v>
      </c>
      <c r="AH207">
        <v>7.73</v>
      </c>
      <c r="AI207">
        <v>1</v>
      </c>
      <c r="AJ207">
        <v>3.8654809999999999</v>
      </c>
      <c r="AK207">
        <v>3.6999999999999998E-2</v>
      </c>
      <c r="AL207">
        <v>2.77</v>
      </c>
      <c r="AM207">
        <v>2772</v>
      </c>
      <c r="AN207">
        <v>0.29609999999999997</v>
      </c>
      <c r="AO207">
        <v>30</v>
      </c>
      <c r="AP207">
        <v>21.87</v>
      </c>
      <c r="AQ207">
        <v>0.72</v>
      </c>
      <c r="AR207">
        <v>-6.03</v>
      </c>
      <c r="AS207">
        <v>1.9</v>
      </c>
      <c r="AT207">
        <v>15.55</v>
      </c>
      <c r="AU207">
        <v>6666.69</v>
      </c>
      <c r="AV207">
        <v>35.81</v>
      </c>
      <c r="AW207">
        <v>15.62</v>
      </c>
      <c r="AX207">
        <v>12.76</v>
      </c>
      <c r="AY207">
        <v>18.966239000000002</v>
      </c>
      <c r="AZ207">
        <v>116.965844</v>
      </c>
      <c r="BA207">
        <v>-14.486238</v>
      </c>
      <c r="BB207">
        <v>1.18811</v>
      </c>
      <c r="BC207">
        <v>14.486238</v>
      </c>
      <c r="BD207">
        <v>27.983136999999999</v>
      </c>
      <c r="BE207">
        <v>218.06020599999999</v>
      </c>
      <c r="BF207">
        <v>-11.173052999999999</v>
      </c>
      <c r="BG207">
        <v>6.4514570000000004</v>
      </c>
      <c r="BH207">
        <v>11.173052999999999</v>
      </c>
    </row>
    <row r="208" spans="1:60" x14ac:dyDescent="0.25">
      <c r="A208" t="s">
        <v>465</v>
      </c>
      <c r="B208" t="s">
        <v>466</v>
      </c>
      <c r="C208">
        <v>4</v>
      </c>
      <c r="D208" t="s">
        <v>360</v>
      </c>
      <c r="E208" cm="1">
        <f t="array" ref="E208">_xlfn.SWITCH(D208,"QPSK",0.1,"16QAM",0.25,"64QAM",0.5,"256QAM",0.8,"1024QAM",1,"")</f>
        <v>0.5</v>
      </c>
      <c r="F208" cm="1">
        <f t="array" ref="F208">_xlfn.SWITCH(D208,"QPSK",0.05,"16QAM",0.15,"64QAM",0.4,"256QAM",0.75,"1024QAM",1,"")</f>
        <v>0.4</v>
      </c>
      <c r="G208" t="s">
        <v>61</v>
      </c>
      <c r="H208">
        <v>1</v>
      </c>
      <c r="I208" t="s">
        <v>62</v>
      </c>
      <c r="J208">
        <v>2</v>
      </c>
      <c r="K208">
        <v>2</v>
      </c>
      <c r="L208" t="s">
        <v>63</v>
      </c>
      <c r="M208">
        <v>2</v>
      </c>
      <c r="N208">
        <v>0.47849999999999998</v>
      </c>
      <c r="O208">
        <v>0.4788</v>
      </c>
      <c r="P208">
        <v>5000</v>
      </c>
      <c r="Q208">
        <v>1301</v>
      </c>
      <c r="R208">
        <v>3699</v>
      </c>
      <c r="S208">
        <v>3.84</v>
      </c>
      <c r="T208">
        <v>284.32</v>
      </c>
      <c r="W208">
        <v>428</v>
      </c>
      <c r="X208">
        <v>872</v>
      </c>
      <c r="Y208">
        <v>91.44</v>
      </c>
      <c r="Z208">
        <v>67.099999999999994</v>
      </c>
      <c r="AB208">
        <v>179280000</v>
      </c>
      <c r="AC208">
        <v>15346368</v>
      </c>
      <c r="AD208">
        <v>179280000</v>
      </c>
      <c r="AE208">
        <v>15346368</v>
      </c>
      <c r="AF208">
        <v>374400000</v>
      </c>
      <c r="AG208">
        <v>32.9</v>
      </c>
      <c r="AH208">
        <v>8.56</v>
      </c>
      <c r="AI208">
        <v>1</v>
      </c>
      <c r="AJ208">
        <v>3.8431980000000001</v>
      </c>
      <c r="AK208">
        <v>4.1000000000000002E-2</v>
      </c>
      <c r="AL208">
        <v>3.07</v>
      </c>
      <c r="AM208">
        <v>3069</v>
      </c>
      <c r="AN208">
        <v>0.32790000000000002</v>
      </c>
      <c r="AO208">
        <v>30</v>
      </c>
      <c r="AP208">
        <v>21.87</v>
      </c>
      <c r="AQ208">
        <v>0.72</v>
      </c>
      <c r="AR208">
        <v>-5.89</v>
      </c>
      <c r="AS208">
        <v>1.92</v>
      </c>
      <c r="AT208">
        <v>16.07</v>
      </c>
      <c r="AU208">
        <v>6666.69</v>
      </c>
      <c r="AV208">
        <v>35.81</v>
      </c>
      <c r="AW208">
        <v>15.66</v>
      </c>
      <c r="AX208">
        <v>12.89</v>
      </c>
      <c r="AY208">
        <v>18.848012000000001</v>
      </c>
      <c r="AZ208">
        <v>115.40416999999999</v>
      </c>
      <c r="BA208">
        <v>-14.540072</v>
      </c>
      <c r="BB208">
        <v>1.067474</v>
      </c>
      <c r="BC208">
        <v>14.540072</v>
      </c>
      <c r="BD208">
        <v>27.652234</v>
      </c>
      <c r="BE208">
        <v>214.42294999999999</v>
      </c>
      <c r="BF208">
        <v>-11.263059999999999</v>
      </c>
      <c r="BG208">
        <v>6.3326659999999997</v>
      </c>
      <c r="BH208">
        <v>11.263059999999999</v>
      </c>
    </row>
    <row r="209" spans="1:60" x14ac:dyDescent="0.25">
      <c r="A209" t="s">
        <v>467</v>
      </c>
      <c r="B209" t="s">
        <v>468</v>
      </c>
      <c r="C209">
        <v>4</v>
      </c>
      <c r="D209" t="s">
        <v>360</v>
      </c>
      <c r="E209" cm="1">
        <f t="array" ref="E209">_xlfn.SWITCH(D209,"QPSK",0.1,"16QAM",0.25,"64QAM",0.5,"256QAM",0.8,"1024QAM",1,"")</f>
        <v>0.5</v>
      </c>
      <c r="F209" cm="1">
        <f t="array" ref="F209">_xlfn.SWITCH(D209,"QPSK",0.05,"16QAM",0.15,"64QAM",0.4,"256QAM",0.75,"1024QAM",1,"")</f>
        <v>0.4</v>
      </c>
      <c r="G209" t="s">
        <v>61</v>
      </c>
      <c r="H209">
        <v>4</v>
      </c>
      <c r="I209" t="s">
        <v>62</v>
      </c>
      <c r="J209">
        <v>2</v>
      </c>
      <c r="K209">
        <v>2</v>
      </c>
      <c r="L209" t="s">
        <v>63</v>
      </c>
      <c r="M209">
        <v>2</v>
      </c>
      <c r="N209">
        <v>0.47849999999999998</v>
      </c>
      <c r="O209">
        <v>0.4788</v>
      </c>
      <c r="P209">
        <v>10000</v>
      </c>
      <c r="Q209">
        <v>2583</v>
      </c>
      <c r="R209">
        <v>7417</v>
      </c>
      <c r="S209">
        <v>3.87</v>
      </c>
      <c r="T209">
        <v>2.87</v>
      </c>
      <c r="W209">
        <v>770</v>
      </c>
      <c r="X209">
        <v>0</v>
      </c>
      <c r="Y209">
        <v>92.3</v>
      </c>
      <c r="Z209">
        <v>70.19</v>
      </c>
      <c r="AB209">
        <v>358560000</v>
      </c>
      <c r="AC209">
        <v>27609120</v>
      </c>
      <c r="AD209">
        <v>358560000</v>
      </c>
      <c r="AE209">
        <v>27609120</v>
      </c>
      <c r="AG209">
        <v>29.81</v>
      </c>
      <c r="AH209">
        <v>7.7</v>
      </c>
      <c r="AI209">
        <v>1</v>
      </c>
      <c r="AJ209">
        <v>3.871467</v>
      </c>
      <c r="AK209">
        <v>3.6900000000000002E-2</v>
      </c>
      <c r="AL209">
        <v>2.76</v>
      </c>
      <c r="AM209">
        <v>2761</v>
      </c>
      <c r="AN209">
        <v>0.29499999999999998</v>
      </c>
      <c r="AO209">
        <v>30</v>
      </c>
      <c r="AP209">
        <v>21.87</v>
      </c>
      <c r="AQ209">
        <v>0.72</v>
      </c>
      <c r="AR209">
        <v>-6.03</v>
      </c>
      <c r="AS209">
        <v>1.89</v>
      </c>
      <c r="AT209">
        <v>15.55</v>
      </c>
      <c r="AU209">
        <v>6666.69</v>
      </c>
      <c r="AV209">
        <v>35.81</v>
      </c>
      <c r="AW209">
        <v>15.62</v>
      </c>
      <c r="AX209">
        <v>12.76</v>
      </c>
      <c r="AY209">
        <v>18.966670000000001</v>
      </c>
      <c r="AZ209">
        <v>117.033693</v>
      </c>
      <c r="BA209">
        <v>-14.48588</v>
      </c>
      <c r="BB209">
        <v>1.1906969999999999</v>
      </c>
      <c r="BC209">
        <v>14.48588</v>
      </c>
      <c r="BD209">
        <v>27.999027999999999</v>
      </c>
      <c r="BE209">
        <v>218.350098</v>
      </c>
      <c r="BF209">
        <v>-11.169002000000001</v>
      </c>
      <c r="BG209">
        <v>6.4673939999999996</v>
      </c>
      <c r="BH209">
        <v>11.169002000000001</v>
      </c>
    </row>
    <row r="210" spans="1:60" x14ac:dyDescent="0.25">
      <c r="A210" t="s">
        <v>469</v>
      </c>
      <c r="B210" t="s">
        <v>470</v>
      </c>
      <c r="C210">
        <v>4</v>
      </c>
      <c r="D210" t="s">
        <v>360</v>
      </c>
      <c r="E210" cm="1">
        <f t="array" ref="E210">_xlfn.SWITCH(D210,"QPSK",0.1,"16QAM",0.25,"64QAM",0.5,"256QAM",0.8,"1024QAM",1,"")</f>
        <v>0.5</v>
      </c>
      <c r="F210" cm="1">
        <f t="array" ref="F210">_xlfn.SWITCH(D210,"QPSK",0.05,"16QAM",0.15,"64QAM",0.4,"256QAM",0.75,"1024QAM",1,"")</f>
        <v>0.4</v>
      </c>
      <c r="G210" t="s">
        <v>61</v>
      </c>
      <c r="H210">
        <v>4</v>
      </c>
      <c r="I210" t="s">
        <v>62</v>
      </c>
      <c r="J210">
        <v>2</v>
      </c>
      <c r="K210">
        <v>2</v>
      </c>
      <c r="L210" t="s">
        <v>63</v>
      </c>
      <c r="M210">
        <v>2</v>
      </c>
      <c r="N210">
        <v>0.47849999999999998</v>
      </c>
      <c r="O210">
        <v>0.4788</v>
      </c>
      <c r="P210">
        <v>5000</v>
      </c>
      <c r="Q210">
        <v>1299</v>
      </c>
      <c r="R210">
        <v>3701</v>
      </c>
      <c r="S210">
        <v>3.85</v>
      </c>
      <c r="T210">
        <v>284.91000000000003</v>
      </c>
      <c r="W210">
        <v>418</v>
      </c>
      <c r="X210">
        <v>878</v>
      </c>
      <c r="Y210">
        <v>91.64</v>
      </c>
      <c r="Z210">
        <v>67.819999999999993</v>
      </c>
      <c r="AB210">
        <v>179280000</v>
      </c>
      <c r="AC210">
        <v>14987808</v>
      </c>
      <c r="AD210">
        <v>179280000</v>
      </c>
      <c r="AE210">
        <v>14987808</v>
      </c>
      <c r="AF210">
        <v>374400000</v>
      </c>
      <c r="AG210">
        <v>32.18</v>
      </c>
      <c r="AH210">
        <v>8.36</v>
      </c>
      <c r="AI210">
        <v>1</v>
      </c>
      <c r="AJ210">
        <v>3.8491149999999998</v>
      </c>
      <c r="AK210">
        <v>0.04</v>
      </c>
      <c r="AL210">
        <v>3</v>
      </c>
      <c r="AM210">
        <v>2998</v>
      </c>
      <c r="AN210">
        <v>0.32029999999999997</v>
      </c>
      <c r="AO210">
        <v>30</v>
      </c>
      <c r="AP210">
        <v>21.87</v>
      </c>
      <c r="AQ210">
        <v>0.72</v>
      </c>
      <c r="AR210">
        <v>-5.89</v>
      </c>
      <c r="AS210">
        <v>1.92</v>
      </c>
      <c r="AT210">
        <v>16.03</v>
      </c>
      <c r="AU210">
        <v>6666.69</v>
      </c>
      <c r="AV210">
        <v>35.81</v>
      </c>
      <c r="AW210">
        <v>15.66</v>
      </c>
      <c r="AX210">
        <v>12.89</v>
      </c>
      <c r="AY210">
        <v>18.848324000000002</v>
      </c>
      <c r="AZ210">
        <v>115.397338</v>
      </c>
      <c r="BA210">
        <v>-14.540013999999999</v>
      </c>
      <c r="BB210">
        <v>1.070878</v>
      </c>
      <c r="BC210">
        <v>14.540013999999999</v>
      </c>
      <c r="BD210">
        <v>27.648904000000002</v>
      </c>
      <c r="BE210">
        <v>214.29015999999999</v>
      </c>
      <c r="BF210">
        <v>-11.26412</v>
      </c>
      <c r="BG210">
        <v>6.327216</v>
      </c>
      <c r="BH210">
        <v>11.26412</v>
      </c>
    </row>
    <row r="211" spans="1:60" x14ac:dyDescent="0.25">
      <c r="A211" t="s">
        <v>471</v>
      </c>
      <c r="B211" t="s">
        <v>472</v>
      </c>
      <c r="C211">
        <v>4</v>
      </c>
      <c r="D211" t="s">
        <v>360</v>
      </c>
      <c r="E211" cm="1">
        <f t="array" ref="E211">_xlfn.SWITCH(D211,"QPSK",0.1,"16QAM",0.25,"64QAM",0.5,"256QAM",0.8,"1024QAM",1,"")</f>
        <v>0.5</v>
      </c>
      <c r="F211" cm="1">
        <f t="array" ref="F211">_xlfn.SWITCH(D211,"QPSK",0.05,"16QAM",0.15,"64QAM",0.4,"256QAM",0.75,"1024QAM",1,"")</f>
        <v>0.4</v>
      </c>
      <c r="G211" t="s">
        <v>61</v>
      </c>
      <c r="H211">
        <v>8</v>
      </c>
      <c r="I211" t="s">
        <v>62</v>
      </c>
      <c r="J211">
        <v>2</v>
      </c>
      <c r="K211">
        <v>2</v>
      </c>
      <c r="L211" t="s">
        <v>63</v>
      </c>
      <c r="M211">
        <v>2</v>
      </c>
      <c r="N211">
        <v>0.47849999999999998</v>
      </c>
      <c r="O211">
        <v>0.4788</v>
      </c>
      <c r="P211">
        <v>10000</v>
      </c>
      <c r="Q211">
        <v>2575</v>
      </c>
      <c r="R211">
        <v>7425</v>
      </c>
      <c r="S211">
        <v>3.88</v>
      </c>
      <c r="T211">
        <v>2.88</v>
      </c>
      <c r="W211">
        <v>744</v>
      </c>
      <c r="X211">
        <v>0</v>
      </c>
      <c r="Y211">
        <v>92.56</v>
      </c>
      <c r="Z211">
        <v>71.11</v>
      </c>
      <c r="AB211">
        <v>358560000</v>
      </c>
      <c r="AC211">
        <v>26676864</v>
      </c>
      <c r="AD211">
        <v>358560000</v>
      </c>
      <c r="AE211">
        <v>26676864</v>
      </c>
      <c r="AG211">
        <v>28.89</v>
      </c>
      <c r="AH211">
        <v>7.44</v>
      </c>
      <c r="AI211">
        <v>1</v>
      </c>
      <c r="AJ211">
        <v>3.8834949999999999</v>
      </c>
      <c r="AK211">
        <v>3.56E-2</v>
      </c>
      <c r="AL211">
        <v>2.67</v>
      </c>
      <c r="AM211">
        <v>2668</v>
      </c>
      <c r="AN211">
        <v>0.28499999999999998</v>
      </c>
      <c r="AO211">
        <v>30</v>
      </c>
      <c r="AP211">
        <v>21.87</v>
      </c>
      <c r="AQ211">
        <v>0.72</v>
      </c>
      <c r="AR211">
        <v>-6.03</v>
      </c>
      <c r="AS211">
        <v>1.9</v>
      </c>
      <c r="AT211">
        <v>15.56</v>
      </c>
      <c r="AU211">
        <v>6666.69</v>
      </c>
      <c r="AV211">
        <v>35.81</v>
      </c>
      <c r="AW211">
        <v>15.62</v>
      </c>
      <c r="AX211">
        <v>12.76</v>
      </c>
      <c r="AY211">
        <v>18.965499000000001</v>
      </c>
      <c r="AZ211">
        <v>116.883602</v>
      </c>
      <c r="BA211">
        <v>-14.486609</v>
      </c>
      <c r="BB211">
        <v>1.1788670000000001</v>
      </c>
      <c r="BC211">
        <v>14.486609</v>
      </c>
      <c r="BD211">
        <v>27.992740999999999</v>
      </c>
      <c r="BE211">
        <v>218.18400500000001</v>
      </c>
      <c r="BF211">
        <v>-11.170229000000001</v>
      </c>
      <c r="BG211">
        <v>6.4569619999999999</v>
      </c>
      <c r="BH211">
        <v>11.170229000000001</v>
      </c>
    </row>
    <row r="212" spans="1:60" x14ac:dyDescent="0.25">
      <c r="A212" t="s">
        <v>473</v>
      </c>
      <c r="B212" t="s">
        <v>474</v>
      </c>
      <c r="C212">
        <v>6</v>
      </c>
      <c r="D212" t="s">
        <v>360</v>
      </c>
      <c r="E212" cm="1">
        <f t="array" ref="E212">_xlfn.SWITCH(D212,"QPSK",0.1,"16QAM",0.25,"64QAM",0.5,"256QAM",0.8,"1024QAM",1,"")</f>
        <v>0.5</v>
      </c>
      <c r="F212" cm="1">
        <f t="array" ref="F212">_xlfn.SWITCH(D212,"QPSK",0.05,"16QAM",0.15,"64QAM",0.4,"256QAM",0.75,"1024QAM",1,"")</f>
        <v>0.4</v>
      </c>
      <c r="G212" t="s">
        <v>61</v>
      </c>
      <c r="H212">
        <v>16</v>
      </c>
      <c r="I212" t="s">
        <v>62</v>
      </c>
      <c r="J212">
        <v>2</v>
      </c>
      <c r="K212">
        <v>2</v>
      </c>
      <c r="L212" t="s">
        <v>63</v>
      </c>
      <c r="M212">
        <v>2</v>
      </c>
      <c r="N212">
        <v>0.47849999999999998</v>
      </c>
      <c r="O212">
        <v>0.4788</v>
      </c>
      <c r="P212">
        <v>5000</v>
      </c>
      <c r="Q212">
        <v>1400</v>
      </c>
      <c r="R212">
        <v>3600</v>
      </c>
      <c r="S212">
        <v>3.57</v>
      </c>
      <c r="T212">
        <v>257.14</v>
      </c>
      <c r="W212">
        <v>931</v>
      </c>
      <c r="X212">
        <v>461</v>
      </c>
      <c r="Y212">
        <v>81.38</v>
      </c>
      <c r="Z212">
        <v>33.5</v>
      </c>
      <c r="AB212">
        <v>179280000</v>
      </c>
      <c r="AC212">
        <v>33381936</v>
      </c>
      <c r="AD212">
        <v>179280000</v>
      </c>
      <c r="AE212">
        <v>33381936</v>
      </c>
      <c r="AF212">
        <v>374400000</v>
      </c>
      <c r="AG212">
        <v>66.5</v>
      </c>
      <c r="AH212">
        <v>18.62</v>
      </c>
      <c r="AI212">
        <v>1</v>
      </c>
      <c r="AJ212">
        <v>3.5714290000000002</v>
      </c>
      <c r="AK212">
        <v>8.9200000000000002E-2</v>
      </c>
      <c r="AL212">
        <v>6.68</v>
      </c>
      <c r="AM212">
        <v>6676</v>
      </c>
      <c r="AN212">
        <v>0.71330000000000005</v>
      </c>
      <c r="AO212">
        <v>30</v>
      </c>
      <c r="AP212">
        <v>21.87</v>
      </c>
      <c r="AQ212">
        <v>0.72</v>
      </c>
      <c r="AR212">
        <v>-5.93</v>
      </c>
      <c r="AS212">
        <v>1.95</v>
      </c>
      <c r="AT212">
        <v>19.239999999999998</v>
      </c>
      <c r="AU212">
        <v>6666.69</v>
      </c>
      <c r="AV212">
        <v>35.81</v>
      </c>
      <c r="AW212">
        <v>16.010000000000002</v>
      </c>
      <c r="AX212">
        <v>13.62</v>
      </c>
      <c r="AY212">
        <v>17.385117999999999</v>
      </c>
      <c r="AZ212">
        <v>100.74672</v>
      </c>
      <c r="BA212">
        <v>-15.238200000000001</v>
      </c>
      <c r="BB212">
        <v>-0.14369799999999999</v>
      </c>
      <c r="BC212">
        <v>15.238200000000001</v>
      </c>
      <c r="BD212">
        <v>26.140357999999999</v>
      </c>
      <c r="BE212">
        <v>194.243562</v>
      </c>
      <c r="BF212">
        <v>-11.7697</v>
      </c>
      <c r="BG212">
        <v>5.4640959999999996</v>
      </c>
      <c r="BH212">
        <v>11.7697</v>
      </c>
    </row>
    <row r="213" spans="1:60" x14ac:dyDescent="0.25">
      <c r="A213" t="s">
        <v>475</v>
      </c>
      <c r="B213" t="s">
        <v>476</v>
      </c>
      <c r="C213">
        <v>6</v>
      </c>
      <c r="D213" t="s">
        <v>360</v>
      </c>
      <c r="E213" cm="1">
        <f t="array" ref="E213">_xlfn.SWITCH(D213,"QPSK",0.1,"16QAM",0.25,"64QAM",0.5,"256QAM",0.8,"1024QAM",1,"")</f>
        <v>0.5</v>
      </c>
      <c r="F213" cm="1">
        <f t="array" ref="F213">_xlfn.SWITCH(D213,"QPSK",0.05,"16QAM",0.15,"64QAM",0.4,"256QAM",0.75,"1024QAM",1,"")</f>
        <v>0.4</v>
      </c>
      <c r="G213" t="s">
        <v>61</v>
      </c>
      <c r="H213">
        <v>1</v>
      </c>
      <c r="I213" t="s">
        <v>62</v>
      </c>
      <c r="J213">
        <v>2</v>
      </c>
      <c r="K213">
        <v>2</v>
      </c>
      <c r="L213" t="s">
        <v>63</v>
      </c>
      <c r="M213">
        <v>2</v>
      </c>
      <c r="N213">
        <v>0.47849999999999998</v>
      </c>
      <c r="O213">
        <v>0.4788</v>
      </c>
      <c r="P213">
        <v>10000</v>
      </c>
      <c r="Q213">
        <v>2860</v>
      </c>
      <c r="R213">
        <v>7140</v>
      </c>
      <c r="S213">
        <v>3.5</v>
      </c>
      <c r="T213">
        <v>2.5</v>
      </c>
      <c r="W213">
        <v>1776</v>
      </c>
      <c r="X213">
        <v>0</v>
      </c>
      <c r="Y213">
        <v>82.24</v>
      </c>
      <c r="Z213">
        <v>37.9</v>
      </c>
      <c r="AB213">
        <v>358560000</v>
      </c>
      <c r="AC213">
        <v>63680256</v>
      </c>
      <c r="AD213">
        <v>358560000</v>
      </c>
      <c r="AE213">
        <v>63680256</v>
      </c>
      <c r="AG213">
        <v>62.1</v>
      </c>
      <c r="AH213">
        <v>17.760000000000002</v>
      </c>
      <c r="AI213">
        <v>1</v>
      </c>
      <c r="AJ213">
        <v>3.4965030000000001</v>
      </c>
      <c r="AK213">
        <v>8.5000000000000006E-2</v>
      </c>
      <c r="AL213">
        <v>6.37</v>
      </c>
      <c r="AM213">
        <v>6368</v>
      </c>
      <c r="AN213">
        <v>0.68030000000000002</v>
      </c>
      <c r="AO213">
        <v>30</v>
      </c>
      <c r="AP213">
        <v>21.87</v>
      </c>
      <c r="AQ213">
        <v>0.72</v>
      </c>
      <c r="AR213">
        <v>-6.07</v>
      </c>
      <c r="AS213">
        <v>1.92</v>
      </c>
      <c r="AT213">
        <v>18.62</v>
      </c>
      <c r="AU213">
        <v>6666.69</v>
      </c>
      <c r="AV213">
        <v>35.81</v>
      </c>
      <c r="AW213">
        <v>15.98</v>
      </c>
      <c r="AX213">
        <v>13.5</v>
      </c>
      <c r="AY213">
        <v>17.477813000000001</v>
      </c>
      <c r="AZ213">
        <v>101.57067600000001</v>
      </c>
      <c r="BA213">
        <v>-15.193929000000001</v>
      </c>
      <c r="BB213">
        <v>-6.9661000000000001E-2</v>
      </c>
      <c r="BC213">
        <v>15.193929000000001</v>
      </c>
      <c r="BD213">
        <v>26.485173</v>
      </c>
      <c r="BE213">
        <v>198.29317</v>
      </c>
      <c r="BF213">
        <v>-11.672798</v>
      </c>
      <c r="BG213">
        <v>5.6063090000000004</v>
      </c>
      <c r="BH213">
        <v>11.672798</v>
      </c>
    </row>
    <row r="214" spans="1:60" x14ac:dyDescent="0.25">
      <c r="A214" t="s">
        <v>477</v>
      </c>
      <c r="B214" t="s">
        <v>478</v>
      </c>
      <c r="C214">
        <v>6</v>
      </c>
      <c r="D214" t="s">
        <v>360</v>
      </c>
      <c r="E214" cm="1">
        <f t="array" ref="E214">_xlfn.SWITCH(D214,"QPSK",0.1,"16QAM",0.25,"64QAM",0.5,"256QAM",0.8,"1024QAM",1,"")</f>
        <v>0.5</v>
      </c>
      <c r="F214" cm="1">
        <f t="array" ref="F214">_xlfn.SWITCH(D214,"QPSK",0.05,"16QAM",0.15,"64QAM",0.4,"256QAM",0.75,"1024QAM",1,"")</f>
        <v>0.4</v>
      </c>
      <c r="G214" t="s">
        <v>61</v>
      </c>
      <c r="H214">
        <v>1</v>
      </c>
      <c r="I214" t="s">
        <v>62</v>
      </c>
      <c r="J214">
        <v>2</v>
      </c>
      <c r="K214">
        <v>2</v>
      </c>
      <c r="L214" t="s">
        <v>63</v>
      </c>
      <c r="M214">
        <v>2</v>
      </c>
      <c r="N214">
        <v>0.47849999999999998</v>
      </c>
      <c r="O214">
        <v>0.4788</v>
      </c>
      <c r="P214">
        <v>5000</v>
      </c>
      <c r="Q214">
        <v>1441</v>
      </c>
      <c r="R214">
        <v>3559</v>
      </c>
      <c r="S214">
        <v>3.47</v>
      </c>
      <c r="T214">
        <v>246.98</v>
      </c>
      <c r="W214">
        <v>933</v>
      </c>
      <c r="X214">
        <v>508</v>
      </c>
      <c r="Y214">
        <v>81.34</v>
      </c>
      <c r="Z214">
        <v>35.25</v>
      </c>
      <c r="AB214">
        <v>179280000</v>
      </c>
      <c r="AC214">
        <v>33453648</v>
      </c>
      <c r="AD214">
        <v>179280000</v>
      </c>
      <c r="AE214">
        <v>33453648</v>
      </c>
      <c r="AF214">
        <v>374400000</v>
      </c>
      <c r="AG214">
        <v>64.75</v>
      </c>
      <c r="AH214">
        <v>18.66</v>
      </c>
      <c r="AI214">
        <v>1</v>
      </c>
      <c r="AJ214">
        <v>3.4698129999999998</v>
      </c>
      <c r="AK214">
        <v>8.9399999999999993E-2</v>
      </c>
      <c r="AL214">
        <v>6.69</v>
      </c>
      <c r="AM214">
        <v>6691</v>
      </c>
      <c r="AN214">
        <v>0.71479999999999999</v>
      </c>
      <c r="AO214">
        <v>30</v>
      </c>
      <c r="AP214">
        <v>21.87</v>
      </c>
      <c r="AQ214">
        <v>0.72</v>
      </c>
      <c r="AR214">
        <v>-5.93</v>
      </c>
      <c r="AS214">
        <v>1.95</v>
      </c>
      <c r="AT214">
        <v>19.61</v>
      </c>
      <c r="AU214">
        <v>6666.69</v>
      </c>
      <c r="AV214">
        <v>35.81</v>
      </c>
      <c r="AW214">
        <v>16.010000000000002</v>
      </c>
      <c r="AX214">
        <v>13.62</v>
      </c>
      <c r="AY214">
        <v>17.379308000000002</v>
      </c>
      <c r="AZ214">
        <v>100.378344</v>
      </c>
      <c r="BA214">
        <v>-15.241353999999999</v>
      </c>
      <c r="BB214">
        <v>-0.16892199999999999</v>
      </c>
      <c r="BC214">
        <v>15.241353999999999</v>
      </c>
      <c r="BD214">
        <v>26.14847</v>
      </c>
      <c r="BE214">
        <v>194.72655</v>
      </c>
      <c r="BF214">
        <v>-11.768064000000001</v>
      </c>
      <c r="BG214">
        <v>5.4790380000000001</v>
      </c>
      <c r="BH214">
        <v>11.768064000000001</v>
      </c>
    </row>
    <row r="215" spans="1:60" x14ac:dyDescent="0.25">
      <c r="A215" t="s">
        <v>479</v>
      </c>
      <c r="B215" t="s">
        <v>480</v>
      </c>
      <c r="C215">
        <v>6</v>
      </c>
      <c r="D215" t="s">
        <v>360</v>
      </c>
      <c r="E215" cm="1">
        <f t="array" ref="E215">_xlfn.SWITCH(D215,"QPSK",0.1,"16QAM",0.25,"64QAM",0.5,"256QAM",0.8,"1024QAM",1,"")</f>
        <v>0.5</v>
      </c>
      <c r="F215" cm="1">
        <f t="array" ref="F215">_xlfn.SWITCH(D215,"QPSK",0.05,"16QAM",0.15,"64QAM",0.4,"256QAM",0.75,"1024QAM",1,"")</f>
        <v>0.4</v>
      </c>
      <c r="G215" t="s">
        <v>61</v>
      </c>
      <c r="H215">
        <v>4</v>
      </c>
      <c r="I215" t="s">
        <v>62</v>
      </c>
      <c r="J215">
        <v>2</v>
      </c>
      <c r="K215">
        <v>2</v>
      </c>
      <c r="L215" t="s">
        <v>63</v>
      </c>
      <c r="M215">
        <v>2</v>
      </c>
      <c r="N215">
        <v>0.47849999999999998</v>
      </c>
      <c r="O215">
        <v>0.4788</v>
      </c>
      <c r="P215">
        <v>10000</v>
      </c>
      <c r="Q215">
        <v>2849</v>
      </c>
      <c r="R215">
        <v>7151</v>
      </c>
      <c r="S215">
        <v>3.51</v>
      </c>
      <c r="T215">
        <v>2.5099999999999998</v>
      </c>
      <c r="W215">
        <v>1773</v>
      </c>
      <c r="X215">
        <v>0</v>
      </c>
      <c r="Y215">
        <v>82.27</v>
      </c>
      <c r="Z215">
        <v>37.770000000000003</v>
      </c>
      <c r="AB215">
        <v>358560000</v>
      </c>
      <c r="AC215">
        <v>63572688</v>
      </c>
      <c r="AD215">
        <v>358560000</v>
      </c>
      <c r="AE215">
        <v>63572688</v>
      </c>
      <c r="AG215">
        <v>62.23</v>
      </c>
      <c r="AH215">
        <v>17.73</v>
      </c>
      <c r="AI215">
        <v>1</v>
      </c>
      <c r="AJ215">
        <v>3.5100039999999999</v>
      </c>
      <c r="AK215">
        <v>8.4900000000000003E-2</v>
      </c>
      <c r="AL215">
        <v>6.36</v>
      </c>
      <c r="AM215">
        <v>6357</v>
      </c>
      <c r="AN215">
        <v>0.67920000000000003</v>
      </c>
      <c r="AO215">
        <v>30</v>
      </c>
      <c r="AP215">
        <v>21.87</v>
      </c>
      <c r="AQ215">
        <v>0.72</v>
      </c>
      <c r="AR215">
        <v>-6.07</v>
      </c>
      <c r="AS215">
        <v>1.93</v>
      </c>
      <c r="AT215">
        <v>18.38</v>
      </c>
      <c r="AU215">
        <v>6666.69</v>
      </c>
      <c r="AV215">
        <v>35.81</v>
      </c>
      <c r="AW215">
        <v>15.98</v>
      </c>
      <c r="AX215">
        <v>13.5</v>
      </c>
      <c r="AY215">
        <v>17.476554</v>
      </c>
      <c r="AZ215">
        <v>101.677677</v>
      </c>
      <c r="BA215">
        <v>-15.194588</v>
      </c>
      <c r="BB215">
        <v>-5.8335999999999999E-2</v>
      </c>
      <c r="BC215">
        <v>15.194588</v>
      </c>
      <c r="BD215">
        <v>26.497002999999999</v>
      </c>
      <c r="BE215">
        <v>198.645757</v>
      </c>
      <c r="BF215">
        <v>-11.669549</v>
      </c>
      <c r="BG215">
        <v>5.6175030000000001</v>
      </c>
      <c r="BH215">
        <v>11.669549</v>
      </c>
    </row>
    <row r="216" spans="1:60" x14ac:dyDescent="0.25">
      <c r="A216" t="s">
        <v>481</v>
      </c>
      <c r="B216" t="s">
        <v>482</v>
      </c>
      <c r="C216">
        <v>6</v>
      </c>
      <c r="D216" t="s">
        <v>360</v>
      </c>
      <c r="E216" cm="1">
        <f t="array" ref="E216">_xlfn.SWITCH(D216,"QPSK",0.1,"16QAM",0.25,"64QAM",0.5,"256QAM",0.8,"1024QAM",1,"")</f>
        <v>0.5</v>
      </c>
      <c r="F216" cm="1">
        <f t="array" ref="F216">_xlfn.SWITCH(D216,"QPSK",0.05,"16QAM",0.15,"64QAM",0.4,"256QAM",0.75,"1024QAM",1,"")</f>
        <v>0.4</v>
      </c>
      <c r="G216" t="s">
        <v>61</v>
      </c>
      <c r="H216">
        <v>4</v>
      </c>
      <c r="I216" t="s">
        <v>62</v>
      </c>
      <c r="J216">
        <v>2</v>
      </c>
      <c r="K216">
        <v>2</v>
      </c>
      <c r="L216" t="s">
        <v>63</v>
      </c>
      <c r="M216">
        <v>2</v>
      </c>
      <c r="N216">
        <v>0.47849999999999998</v>
      </c>
      <c r="O216">
        <v>0.4788</v>
      </c>
      <c r="P216">
        <v>5000</v>
      </c>
      <c r="Q216">
        <v>1435</v>
      </c>
      <c r="R216">
        <v>3565</v>
      </c>
      <c r="S216">
        <v>3.48</v>
      </c>
      <c r="T216">
        <v>248.43</v>
      </c>
      <c r="W216">
        <v>929</v>
      </c>
      <c r="X216">
        <v>503</v>
      </c>
      <c r="Y216">
        <v>81.42</v>
      </c>
      <c r="Z216">
        <v>35.26</v>
      </c>
      <c r="AB216">
        <v>179280000</v>
      </c>
      <c r="AC216">
        <v>33310224</v>
      </c>
      <c r="AD216">
        <v>179280000</v>
      </c>
      <c r="AE216">
        <v>33310224</v>
      </c>
      <c r="AF216">
        <v>374400000</v>
      </c>
      <c r="AG216">
        <v>64.739999999999995</v>
      </c>
      <c r="AH216">
        <v>18.579999999999998</v>
      </c>
      <c r="AI216">
        <v>1</v>
      </c>
      <c r="AJ216">
        <v>3.484321</v>
      </c>
      <c r="AK216">
        <v>8.8999999999999996E-2</v>
      </c>
      <c r="AL216">
        <v>6.66</v>
      </c>
      <c r="AM216">
        <v>6662</v>
      </c>
      <c r="AN216">
        <v>0.71179999999999999</v>
      </c>
      <c r="AO216">
        <v>30</v>
      </c>
      <c r="AP216">
        <v>21.87</v>
      </c>
      <c r="AQ216">
        <v>0.72</v>
      </c>
      <c r="AR216">
        <v>-5.93</v>
      </c>
      <c r="AS216">
        <v>1.95</v>
      </c>
      <c r="AT216">
        <v>19.29</v>
      </c>
      <c r="AU216">
        <v>6666.69</v>
      </c>
      <c r="AV216">
        <v>35.81</v>
      </c>
      <c r="AW216">
        <v>16.010000000000002</v>
      </c>
      <c r="AX216">
        <v>13.62</v>
      </c>
      <c r="AY216">
        <v>17.384125999999998</v>
      </c>
      <c r="AZ216">
        <v>100.88567399999999</v>
      </c>
      <c r="BA216">
        <v>-15.238828</v>
      </c>
      <c r="BB216">
        <v>-0.12825</v>
      </c>
      <c r="BC216">
        <v>15.238828</v>
      </c>
      <c r="BD216">
        <v>26.14669</v>
      </c>
      <c r="BE216">
        <v>194.31422000000001</v>
      </c>
      <c r="BF216">
        <v>-11.767060000000001</v>
      </c>
      <c r="BG216">
        <v>5.4676640000000001</v>
      </c>
      <c r="BH216">
        <v>11.767060000000001</v>
      </c>
    </row>
    <row r="217" spans="1:60" x14ac:dyDescent="0.25">
      <c r="A217" t="s">
        <v>483</v>
      </c>
      <c r="B217" t="s">
        <v>484</v>
      </c>
      <c r="C217">
        <v>6</v>
      </c>
      <c r="D217" t="s">
        <v>360</v>
      </c>
      <c r="E217" cm="1">
        <f t="array" ref="E217">_xlfn.SWITCH(D217,"QPSK",0.1,"16QAM",0.25,"64QAM",0.5,"256QAM",0.8,"1024QAM",1,"")</f>
        <v>0.5</v>
      </c>
      <c r="F217" cm="1">
        <f t="array" ref="F217">_xlfn.SWITCH(D217,"QPSK",0.05,"16QAM",0.15,"64QAM",0.4,"256QAM",0.75,"1024QAM",1,"")</f>
        <v>0.4</v>
      </c>
      <c r="G217" t="s">
        <v>61</v>
      </c>
      <c r="H217">
        <v>8</v>
      </c>
      <c r="I217" t="s">
        <v>62</v>
      </c>
      <c r="J217">
        <v>2</v>
      </c>
      <c r="K217">
        <v>2</v>
      </c>
      <c r="L217" t="s">
        <v>63</v>
      </c>
      <c r="M217">
        <v>2</v>
      </c>
      <c r="N217">
        <v>0.47849999999999998</v>
      </c>
      <c r="O217">
        <v>0.4788</v>
      </c>
      <c r="P217">
        <v>10000</v>
      </c>
      <c r="Q217">
        <v>2827</v>
      </c>
      <c r="R217">
        <v>7173</v>
      </c>
      <c r="S217">
        <v>3.54</v>
      </c>
      <c r="T217">
        <v>2.54</v>
      </c>
      <c r="W217">
        <v>1768</v>
      </c>
      <c r="X217">
        <v>0</v>
      </c>
      <c r="Y217">
        <v>82.32</v>
      </c>
      <c r="Z217">
        <v>37.46</v>
      </c>
      <c r="AB217">
        <v>358560000</v>
      </c>
      <c r="AC217">
        <v>63393408</v>
      </c>
      <c r="AD217">
        <v>358560000</v>
      </c>
      <c r="AE217">
        <v>63393408</v>
      </c>
      <c r="AG217">
        <v>62.54</v>
      </c>
      <c r="AH217">
        <v>17.68</v>
      </c>
      <c r="AI217">
        <v>1</v>
      </c>
      <c r="AJ217">
        <v>3.5373190000000001</v>
      </c>
      <c r="AK217">
        <v>8.4699999999999998E-2</v>
      </c>
      <c r="AL217">
        <v>6.34</v>
      </c>
      <c r="AM217">
        <v>6339</v>
      </c>
      <c r="AN217">
        <v>0.67730000000000001</v>
      </c>
      <c r="AO217">
        <v>30</v>
      </c>
      <c r="AP217">
        <v>21.87</v>
      </c>
      <c r="AQ217">
        <v>0.72</v>
      </c>
      <c r="AR217">
        <v>-6.07</v>
      </c>
      <c r="AS217">
        <v>1.93</v>
      </c>
      <c r="AT217">
        <v>18.57</v>
      </c>
      <c r="AU217">
        <v>6666.69</v>
      </c>
      <c r="AV217">
        <v>35.81</v>
      </c>
      <c r="AW217">
        <v>15.98</v>
      </c>
      <c r="AX217">
        <v>13.5</v>
      </c>
      <c r="AY217">
        <v>17.477917999999999</v>
      </c>
      <c r="AZ217">
        <v>101.740409</v>
      </c>
      <c r="BA217">
        <v>-15.194043000000001</v>
      </c>
      <c r="BB217">
        <v>-5.4373999999999999E-2</v>
      </c>
      <c r="BC217">
        <v>15.194043000000001</v>
      </c>
      <c r="BD217">
        <v>26.487781999999999</v>
      </c>
      <c r="BE217">
        <v>198.292992</v>
      </c>
      <c r="BF217">
        <v>-11.672143999999999</v>
      </c>
      <c r="BG217">
        <v>5.6039060000000003</v>
      </c>
      <c r="BH217">
        <v>11.672143999999999</v>
      </c>
    </row>
    <row r="218" spans="1:60" x14ac:dyDescent="0.25">
      <c r="A218" t="s">
        <v>485</v>
      </c>
      <c r="B218" t="s">
        <v>486</v>
      </c>
      <c r="C218">
        <v>8</v>
      </c>
      <c r="D218" t="s">
        <v>360</v>
      </c>
      <c r="E218" cm="1">
        <f t="array" ref="E218">_xlfn.SWITCH(D218,"QPSK",0.1,"16QAM",0.25,"64QAM",0.5,"256QAM",0.8,"1024QAM",1,"")</f>
        <v>0.5</v>
      </c>
      <c r="F218" cm="1">
        <f t="array" ref="F218">_xlfn.SWITCH(D218,"QPSK",0.05,"16QAM",0.15,"64QAM",0.4,"256QAM",0.75,"1024QAM",1,"")</f>
        <v>0.4</v>
      </c>
      <c r="G218" t="s">
        <v>61</v>
      </c>
      <c r="H218">
        <v>16</v>
      </c>
      <c r="I218" t="s">
        <v>62</v>
      </c>
      <c r="J218">
        <v>2</v>
      </c>
      <c r="K218">
        <v>2</v>
      </c>
      <c r="L218" t="s">
        <v>63</v>
      </c>
      <c r="M218">
        <v>2</v>
      </c>
      <c r="N218">
        <v>0.47849999999999998</v>
      </c>
      <c r="O218">
        <v>0.4788</v>
      </c>
      <c r="P218">
        <v>5000</v>
      </c>
      <c r="Q218">
        <v>1668</v>
      </c>
      <c r="R218">
        <v>3332</v>
      </c>
      <c r="S218">
        <v>3</v>
      </c>
      <c r="T218">
        <v>199.76</v>
      </c>
      <c r="W218">
        <v>1540</v>
      </c>
      <c r="X218">
        <v>122</v>
      </c>
      <c r="Y218">
        <v>69.2</v>
      </c>
      <c r="Z218">
        <v>7.67</v>
      </c>
      <c r="AB218">
        <v>179280000</v>
      </c>
      <c r="AC218">
        <v>55218240</v>
      </c>
      <c r="AD218">
        <v>179280000</v>
      </c>
      <c r="AE218">
        <v>55218240</v>
      </c>
      <c r="AF218">
        <v>374400000</v>
      </c>
      <c r="AG218">
        <v>92.33</v>
      </c>
      <c r="AH218">
        <v>30.8</v>
      </c>
      <c r="AI218">
        <v>1</v>
      </c>
      <c r="AJ218">
        <v>2.9976020000000001</v>
      </c>
      <c r="AK218">
        <v>0.14749999999999999</v>
      </c>
      <c r="AL218">
        <v>11.04</v>
      </c>
      <c r="AM218">
        <v>11044</v>
      </c>
      <c r="AN218">
        <v>1.1798999999999999</v>
      </c>
      <c r="AO218">
        <v>30</v>
      </c>
      <c r="AP218">
        <v>21.87</v>
      </c>
      <c r="AQ218">
        <v>0.72</v>
      </c>
      <c r="AR218">
        <v>-5.94</v>
      </c>
      <c r="AS218">
        <v>1.97</v>
      </c>
      <c r="AT218">
        <v>21.83</v>
      </c>
      <c r="AU218">
        <v>6666.69</v>
      </c>
      <c r="AV218">
        <v>35.81</v>
      </c>
      <c r="AW218">
        <v>16.32</v>
      </c>
      <c r="AX218">
        <v>14.15</v>
      </c>
      <c r="AY218">
        <v>16.233426000000001</v>
      </c>
      <c r="AZ218">
        <v>90.978684000000001</v>
      </c>
      <c r="BA218">
        <v>-15.827788</v>
      </c>
      <c r="BB218">
        <v>-1.11639</v>
      </c>
      <c r="BC218">
        <v>15.827788</v>
      </c>
      <c r="BD218">
        <v>24.642593999999999</v>
      </c>
      <c r="BE218">
        <v>179.21524400000001</v>
      </c>
      <c r="BF218">
        <v>-12.290804</v>
      </c>
      <c r="BG218">
        <v>4.7746079999999997</v>
      </c>
      <c r="BH218">
        <v>12.290804</v>
      </c>
    </row>
    <row r="219" spans="1:60" x14ac:dyDescent="0.25">
      <c r="A219" t="s">
        <v>487</v>
      </c>
      <c r="B219" t="s">
        <v>488</v>
      </c>
      <c r="C219">
        <v>8</v>
      </c>
      <c r="D219" t="s">
        <v>360</v>
      </c>
      <c r="E219" cm="1">
        <f t="array" ref="E219">_xlfn.SWITCH(D219,"QPSK",0.1,"16QAM",0.25,"64QAM",0.5,"256QAM",0.8,"1024QAM",1,"")</f>
        <v>0.5</v>
      </c>
      <c r="F219" cm="1">
        <f t="array" ref="F219">_xlfn.SWITCH(D219,"QPSK",0.05,"16QAM",0.15,"64QAM",0.4,"256QAM",0.75,"1024QAM",1,"")</f>
        <v>0.4</v>
      </c>
      <c r="G219" t="s">
        <v>61</v>
      </c>
      <c r="H219">
        <v>1</v>
      </c>
      <c r="I219" t="s">
        <v>62</v>
      </c>
      <c r="J219">
        <v>2</v>
      </c>
      <c r="K219">
        <v>2</v>
      </c>
      <c r="L219" t="s">
        <v>63</v>
      </c>
      <c r="M219">
        <v>2</v>
      </c>
      <c r="N219">
        <v>0.47849999999999998</v>
      </c>
      <c r="O219">
        <v>0.4788</v>
      </c>
      <c r="P219">
        <v>10000</v>
      </c>
      <c r="Q219">
        <v>3359</v>
      </c>
      <c r="R219">
        <v>6641</v>
      </c>
      <c r="S219">
        <v>2.98</v>
      </c>
      <c r="T219">
        <v>1.98</v>
      </c>
      <c r="W219">
        <v>2909</v>
      </c>
      <c r="X219">
        <v>0</v>
      </c>
      <c r="Y219">
        <v>70.91</v>
      </c>
      <c r="Z219">
        <v>13.4</v>
      </c>
      <c r="AB219">
        <v>358560000</v>
      </c>
      <c r="AC219">
        <v>104305104</v>
      </c>
      <c r="AD219">
        <v>358560000</v>
      </c>
      <c r="AE219">
        <v>104305104</v>
      </c>
      <c r="AG219">
        <v>86.6</v>
      </c>
      <c r="AH219">
        <v>29.09</v>
      </c>
      <c r="AI219">
        <v>1</v>
      </c>
      <c r="AJ219">
        <v>2.977077</v>
      </c>
      <c r="AK219">
        <v>0.13930000000000001</v>
      </c>
      <c r="AL219">
        <v>10.43</v>
      </c>
      <c r="AM219">
        <v>10431</v>
      </c>
      <c r="AN219">
        <v>1.1144000000000001</v>
      </c>
      <c r="AO219">
        <v>30</v>
      </c>
      <c r="AP219">
        <v>21.87</v>
      </c>
      <c r="AQ219">
        <v>0.72</v>
      </c>
      <c r="AR219">
        <v>-6.07</v>
      </c>
      <c r="AS219">
        <v>1.95</v>
      </c>
      <c r="AT219">
        <v>20.85</v>
      </c>
      <c r="AU219">
        <v>6666.69</v>
      </c>
      <c r="AV219">
        <v>35.81</v>
      </c>
      <c r="AW219">
        <v>16.28</v>
      </c>
      <c r="AX219">
        <v>14.05</v>
      </c>
      <c r="AY219">
        <v>16.329073999999999</v>
      </c>
      <c r="AZ219">
        <v>92.029801000000006</v>
      </c>
      <c r="BA219">
        <v>-15.779254</v>
      </c>
      <c r="BB219">
        <v>-1.0195689999999999</v>
      </c>
      <c r="BC219">
        <v>15.779254</v>
      </c>
      <c r="BD219">
        <v>24.994171999999999</v>
      </c>
      <c r="BE219">
        <v>182.82021800000001</v>
      </c>
      <c r="BF219">
        <v>-12.182746</v>
      </c>
      <c r="BG219">
        <v>4.9329970000000003</v>
      </c>
      <c r="BH219">
        <v>12.182746</v>
      </c>
    </row>
    <row r="220" spans="1:60" x14ac:dyDescent="0.25">
      <c r="A220" t="s">
        <v>489</v>
      </c>
      <c r="B220" t="s">
        <v>490</v>
      </c>
      <c r="C220">
        <v>8</v>
      </c>
      <c r="D220" t="s">
        <v>360</v>
      </c>
      <c r="E220" cm="1">
        <f t="array" ref="E220">_xlfn.SWITCH(D220,"QPSK",0.1,"16QAM",0.25,"64QAM",0.5,"256QAM",0.8,"1024QAM",1,"")</f>
        <v>0.5</v>
      </c>
      <c r="F220" cm="1">
        <f t="array" ref="F220">_xlfn.SWITCH(D220,"QPSK",0.05,"16QAM",0.15,"64QAM",0.4,"256QAM",0.75,"1024QAM",1,"")</f>
        <v>0.4</v>
      </c>
      <c r="G220" t="s">
        <v>61</v>
      </c>
      <c r="H220">
        <v>1</v>
      </c>
      <c r="I220" t="s">
        <v>62</v>
      </c>
      <c r="J220">
        <v>2</v>
      </c>
      <c r="K220">
        <v>2</v>
      </c>
      <c r="L220" t="s">
        <v>63</v>
      </c>
      <c r="M220">
        <v>2</v>
      </c>
      <c r="N220">
        <v>0.47849999999999998</v>
      </c>
      <c r="O220">
        <v>0.4788</v>
      </c>
      <c r="P220">
        <v>5000</v>
      </c>
      <c r="Q220">
        <v>1717</v>
      </c>
      <c r="R220">
        <v>3283</v>
      </c>
      <c r="S220">
        <v>2.91</v>
      </c>
      <c r="T220">
        <v>191.21</v>
      </c>
      <c r="W220">
        <v>1505</v>
      </c>
      <c r="X220">
        <v>212</v>
      </c>
      <c r="Y220">
        <v>69.900000000000006</v>
      </c>
      <c r="Z220">
        <v>12.35</v>
      </c>
      <c r="AB220">
        <v>179280000</v>
      </c>
      <c r="AC220">
        <v>53963280</v>
      </c>
      <c r="AD220">
        <v>179280000</v>
      </c>
      <c r="AE220">
        <v>53963280</v>
      </c>
      <c r="AF220">
        <v>374400000</v>
      </c>
      <c r="AG220">
        <v>87.65</v>
      </c>
      <c r="AH220">
        <v>30.1</v>
      </c>
      <c r="AI220">
        <v>1</v>
      </c>
      <c r="AJ220">
        <v>2.9120560000000002</v>
      </c>
      <c r="AK220">
        <v>0.14410000000000001</v>
      </c>
      <c r="AL220">
        <v>10.79</v>
      </c>
      <c r="AM220">
        <v>10793</v>
      </c>
      <c r="AN220">
        <v>1.1531</v>
      </c>
      <c r="AO220">
        <v>30</v>
      </c>
      <c r="AP220">
        <v>21.87</v>
      </c>
      <c r="AQ220">
        <v>0.72</v>
      </c>
      <c r="AR220">
        <v>-5.94</v>
      </c>
      <c r="AS220">
        <v>1.97</v>
      </c>
      <c r="AT220">
        <v>21.68</v>
      </c>
      <c r="AU220">
        <v>6666.69</v>
      </c>
      <c r="AV220">
        <v>35.81</v>
      </c>
      <c r="AW220">
        <v>16.32</v>
      </c>
      <c r="AX220">
        <v>14.15</v>
      </c>
      <c r="AY220">
        <v>16.231117999999999</v>
      </c>
      <c r="AZ220">
        <v>90.891816000000006</v>
      </c>
      <c r="BA220">
        <v>-15.828738</v>
      </c>
      <c r="BB220">
        <v>-1.124482</v>
      </c>
      <c r="BC220">
        <v>15.828738</v>
      </c>
      <c r="BD220">
        <v>24.654033999999999</v>
      </c>
      <c r="BE220">
        <v>179.20983799999999</v>
      </c>
      <c r="BF220">
        <v>-12.287383999999999</v>
      </c>
      <c r="BG220">
        <v>4.7758539999999998</v>
      </c>
      <c r="BH220">
        <v>12.287383999999999</v>
      </c>
    </row>
    <row r="221" spans="1:60" x14ac:dyDescent="0.25">
      <c r="A221" t="s">
        <v>491</v>
      </c>
      <c r="B221" t="s">
        <v>492</v>
      </c>
      <c r="C221">
        <v>8</v>
      </c>
      <c r="D221" t="s">
        <v>360</v>
      </c>
      <c r="E221" cm="1">
        <f t="array" ref="E221">_xlfn.SWITCH(D221,"QPSK",0.1,"16QAM",0.25,"64QAM",0.5,"256QAM",0.8,"1024QAM",1,"")</f>
        <v>0.5</v>
      </c>
      <c r="F221" cm="1">
        <f t="array" ref="F221">_xlfn.SWITCH(D221,"QPSK",0.05,"16QAM",0.15,"64QAM",0.4,"256QAM",0.75,"1024QAM",1,"")</f>
        <v>0.4</v>
      </c>
      <c r="G221" t="s">
        <v>61</v>
      </c>
      <c r="H221">
        <v>4</v>
      </c>
      <c r="I221" t="s">
        <v>62</v>
      </c>
      <c r="J221">
        <v>2</v>
      </c>
      <c r="K221">
        <v>2</v>
      </c>
      <c r="L221" t="s">
        <v>63</v>
      </c>
      <c r="M221">
        <v>2</v>
      </c>
      <c r="N221">
        <v>0.47849999999999998</v>
      </c>
      <c r="O221">
        <v>0.4788</v>
      </c>
      <c r="P221">
        <v>10000</v>
      </c>
      <c r="Q221">
        <v>3332</v>
      </c>
      <c r="R221">
        <v>6668</v>
      </c>
      <c r="S221">
        <v>3</v>
      </c>
      <c r="T221">
        <v>2</v>
      </c>
      <c r="W221">
        <v>2899</v>
      </c>
      <c r="X221">
        <v>0</v>
      </c>
      <c r="Y221">
        <v>71.010000000000005</v>
      </c>
      <c r="Z221">
        <v>13</v>
      </c>
      <c r="AB221">
        <v>358560000</v>
      </c>
      <c r="AC221">
        <v>103946544</v>
      </c>
      <c r="AD221">
        <v>358560000</v>
      </c>
      <c r="AE221">
        <v>103946544</v>
      </c>
      <c r="AG221">
        <v>87</v>
      </c>
      <c r="AH221">
        <v>28.99</v>
      </c>
      <c r="AI221">
        <v>1</v>
      </c>
      <c r="AJ221">
        <v>3.0011999999999999</v>
      </c>
      <c r="AK221">
        <v>0.13880000000000001</v>
      </c>
      <c r="AL221">
        <v>10.39</v>
      </c>
      <c r="AM221">
        <v>10395</v>
      </c>
      <c r="AN221">
        <v>1.1105</v>
      </c>
      <c r="AO221">
        <v>30</v>
      </c>
      <c r="AP221">
        <v>21.87</v>
      </c>
      <c r="AQ221">
        <v>0.72</v>
      </c>
      <c r="AR221">
        <v>-6.07</v>
      </c>
      <c r="AS221">
        <v>1.95</v>
      </c>
      <c r="AT221">
        <v>20.79</v>
      </c>
      <c r="AU221">
        <v>6666.69</v>
      </c>
      <c r="AV221">
        <v>35.81</v>
      </c>
      <c r="AW221">
        <v>16.28</v>
      </c>
      <c r="AX221">
        <v>14.05</v>
      </c>
      <c r="AY221">
        <v>16.332788000000001</v>
      </c>
      <c r="AZ221">
        <v>92.364041</v>
      </c>
      <c r="BA221">
        <v>-15.777407999999999</v>
      </c>
      <c r="BB221">
        <v>-0.99738099999999996</v>
      </c>
      <c r="BC221">
        <v>15.777407999999999</v>
      </c>
      <c r="BD221">
        <v>24.994561000000001</v>
      </c>
      <c r="BE221">
        <v>183.293307</v>
      </c>
      <c r="BF221">
        <v>-12.182143999999999</v>
      </c>
      <c r="BG221">
        <v>4.9540189999999997</v>
      </c>
      <c r="BH221">
        <v>12.182143999999999</v>
      </c>
    </row>
    <row r="222" spans="1:60" x14ac:dyDescent="0.25">
      <c r="A222" t="s">
        <v>493</v>
      </c>
      <c r="B222" t="s">
        <v>494</v>
      </c>
      <c r="C222">
        <v>8</v>
      </c>
      <c r="D222" t="s">
        <v>360</v>
      </c>
      <c r="E222" cm="1">
        <f t="array" ref="E222">_xlfn.SWITCH(D222,"QPSK",0.1,"16QAM",0.25,"64QAM",0.5,"256QAM",0.8,"1024QAM",1,"")</f>
        <v>0.5</v>
      </c>
      <c r="F222" cm="1">
        <f t="array" ref="F222">_xlfn.SWITCH(D222,"QPSK",0.05,"16QAM",0.15,"64QAM",0.4,"256QAM",0.75,"1024QAM",1,"")</f>
        <v>0.4</v>
      </c>
      <c r="G222" t="s">
        <v>61</v>
      </c>
      <c r="H222">
        <v>4</v>
      </c>
      <c r="I222" t="s">
        <v>62</v>
      </c>
      <c r="J222">
        <v>2</v>
      </c>
      <c r="K222">
        <v>2</v>
      </c>
      <c r="L222" t="s">
        <v>63</v>
      </c>
      <c r="M222">
        <v>2</v>
      </c>
      <c r="N222">
        <v>0.47849999999999998</v>
      </c>
      <c r="O222">
        <v>0.4788</v>
      </c>
      <c r="P222">
        <v>5000</v>
      </c>
      <c r="Q222">
        <v>1707</v>
      </c>
      <c r="R222">
        <v>3293</v>
      </c>
      <c r="S222">
        <v>2.93</v>
      </c>
      <c r="T222">
        <v>192.91</v>
      </c>
      <c r="W222">
        <v>1501</v>
      </c>
      <c r="X222">
        <v>206</v>
      </c>
      <c r="Y222">
        <v>69.98</v>
      </c>
      <c r="Z222">
        <v>12.07</v>
      </c>
      <c r="AB222">
        <v>179280000</v>
      </c>
      <c r="AC222">
        <v>53819856</v>
      </c>
      <c r="AD222">
        <v>179280000</v>
      </c>
      <c r="AE222">
        <v>53819856</v>
      </c>
      <c r="AF222">
        <v>374400000</v>
      </c>
      <c r="AG222">
        <v>87.93</v>
      </c>
      <c r="AH222">
        <v>30.02</v>
      </c>
      <c r="AI222">
        <v>1</v>
      </c>
      <c r="AJ222">
        <v>2.9291149999999999</v>
      </c>
      <c r="AK222">
        <v>0.14369999999999999</v>
      </c>
      <c r="AL222">
        <v>10.76</v>
      </c>
      <c r="AM222">
        <v>10764</v>
      </c>
      <c r="AN222">
        <v>1.1499999999999999</v>
      </c>
      <c r="AO222">
        <v>30</v>
      </c>
      <c r="AP222">
        <v>21.87</v>
      </c>
      <c r="AQ222">
        <v>0.72</v>
      </c>
      <c r="AR222">
        <v>-5.94</v>
      </c>
      <c r="AS222">
        <v>1.97</v>
      </c>
      <c r="AT222">
        <v>21.76</v>
      </c>
      <c r="AU222">
        <v>6666.69</v>
      </c>
      <c r="AV222">
        <v>35.81</v>
      </c>
      <c r="AW222">
        <v>16.32</v>
      </c>
      <c r="AX222">
        <v>14.15</v>
      </c>
      <c r="AY222">
        <v>16.229503999999999</v>
      </c>
      <c r="AZ222">
        <v>90.875631999999996</v>
      </c>
      <c r="BA222">
        <v>-15.829888</v>
      </c>
      <c r="BB222">
        <v>-1.127046</v>
      </c>
      <c r="BC222">
        <v>15.829888</v>
      </c>
      <c r="BD222">
        <v>24.628730000000001</v>
      </c>
      <c r="BE222">
        <v>179.033984</v>
      </c>
      <c r="BF222">
        <v>-12.294890000000001</v>
      </c>
      <c r="BG222">
        <v>4.7673139999999998</v>
      </c>
      <c r="BH222">
        <v>12.294890000000001</v>
      </c>
    </row>
    <row r="223" spans="1:60" x14ac:dyDescent="0.25">
      <c r="A223" t="s">
        <v>495</v>
      </c>
      <c r="B223" t="s">
        <v>496</v>
      </c>
      <c r="C223">
        <v>8</v>
      </c>
      <c r="D223" t="s">
        <v>360</v>
      </c>
      <c r="E223" cm="1">
        <f t="array" ref="E223">_xlfn.SWITCH(D223,"QPSK",0.1,"16QAM",0.25,"64QAM",0.5,"256QAM",0.8,"1024QAM",1,"")</f>
        <v>0.5</v>
      </c>
      <c r="F223" cm="1">
        <f t="array" ref="F223">_xlfn.SWITCH(D223,"QPSK",0.05,"16QAM",0.15,"64QAM",0.4,"256QAM",0.75,"1024QAM",1,"")</f>
        <v>0.4</v>
      </c>
      <c r="G223" t="s">
        <v>61</v>
      </c>
      <c r="H223">
        <v>8</v>
      </c>
      <c r="I223" t="s">
        <v>62</v>
      </c>
      <c r="J223">
        <v>2</v>
      </c>
      <c r="K223">
        <v>2</v>
      </c>
      <c r="L223" t="s">
        <v>63</v>
      </c>
      <c r="M223">
        <v>2</v>
      </c>
      <c r="N223">
        <v>0.47849999999999998</v>
      </c>
      <c r="O223">
        <v>0.4788</v>
      </c>
      <c r="P223">
        <v>10000</v>
      </c>
      <c r="Q223">
        <v>3316</v>
      </c>
      <c r="R223">
        <v>6684</v>
      </c>
      <c r="S223">
        <v>3.02</v>
      </c>
      <c r="T223">
        <v>2.02</v>
      </c>
      <c r="W223">
        <v>2943</v>
      </c>
      <c r="X223">
        <v>0</v>
      </c>
      <c r="Y223">
        <v>70.569999999999993</v>
      </c>
      <c r="Z223">
        <v>11.25</v>
      </c>
      <c r="AB223">
        <v>358560000</v>
      </c>
      <c r="AC223">
        <v>105524208</v>
      </c>
      <c r="AD223">
        <v>358560000</v>
      </c>
      <c r="AE223">
        <v>105524208</v>
      </c>
      <c r="AG223">
        <v>88.75</v>
      </c>
      <c r="AH223">
        <v>29.43</v>
      </c>
      <c r="AI223">
        <v>1</v>
      </c>
      <c r="AJ223">
        <v>3.015682</v>
      </c>
      <c r="AK223">
        <v>0.1409</v>
      </c>
      <c r="AL223">
        <v>10.55</v>
      </c>
      <c r="AM223">
        <v>10552</v>
      </c>
      <c r="AN223">
        <v>1.1274</v>
      </c>
      <c r="AO223">
        <v>30</v>
      </c>
      <c r="AP223">
        <v>21.87</v>
      </c>
      <c r="AQ223">
        <v>0.72</v>
      </c>
      <c r="AR223">
        <v>-6.07</v>
      </c>
      <c r="AS223">
        <v>1.95</v>
      </c>
      <c r="AT223">
        <v>20.78</v>
      </c>
      <c r="AU223">
        <v>6666.69</v>
      </c>
      <c r="AV223">
        <v>35.81</v>
      </c>
      <c r="AW223">
        <v>16.28</v>
      </c>
      <c r="AX223">
        <v>14.05</v>
      </c>
      <c r="AY223">
        <v>16.330126</v>
      </c>
      <c r="AZ223">
        <v>92.020210000000006</v>
      </c>
      <c r="BA223">
        <v>-15.778691999999999</v>
      </c>
      <c r="BB223">
        <v>-1.0226599999999999</v>
      </c>
      <c r="BC223">
        <v>15.778691999999999</v>
      </c>
      <c r="BD223">
        <v>24.993690999999998</v>
      </c>
      <c r="BE223">
        <v>182.91607400000001</v>
      </c>
      <c r="BF223">
        <v>-12.183400000000001</v>
      </c>
      <c r="BG223">
        <v>4.933567</v>
      </c>
      <c r="BH223">
        <v>12.183400000000001</v>
      </c>
    </row>
    <row r="224" spans="1:60" x14ac:dyDescent="0.25">
      <c r="A224" t="s">
        <v>497</v>
      </c>
      <c r="B224" t="s">
        <v>498</v>
      </c>
      <c r="C224">
        <v>0</v>
      </c>
      <c r="D224" t="s">
        <v>499</v>
      </c>
      <c r="E224" cm="1">
        <f t="array" ref="E224">_xlfn.SWITCH(D224,"QPSK",0.1,"16QAM",0.25,"64QAM",0.5,"256QAM",0.8,"1024QAM",1,"")</f>
        <v>0.1</v>
      </c>
      <c r="F224" cm="1">
        <f t="array" ref="F224">_xlfn.SWITCH(D224,"QPSK",0.05,"16QAM",0.15,"64QAM",0.4,"256QAM",0.75,"1024QAM",1,"")</f>
        <v>0.05</v>
      </c>
      <c r="G224" t="s">
        <v>61</v>
      </c>
      <c r="H224">
        <v>1</v>
      </c>
      <c r="I224" t="s">
        <v>62</v>
      </c>
      <c r="J224">
        <v>2</v>
      </c>
      <c r="K224">
        <v>2</v>
      </c>
      <c r="L224" t="s">
        <v>63</v>
      </c>
      <c r="M224">
        <v>2</v>
      </c>
      <c r="N224">
        <v>0.47849999999999998</v>
      </c>
      <c r="O224">
        <v>0.4824</v>
      </c>
      <c r="P224">
        <v>10000</v>
      </c>
      <c r="Q224">
        <v>3673</v>
      </c>
      <c r="R224">
        <v>6327</v>
      </c>
      <c r="S224">
        <v>2.72</v>
      </c>
      <c r="T224">
        <v>1.72</v>
      </c>
      <c r="W224">
        <v>3209</v>
      </c>
      <c r="X224">
        <v>0</v>
      </c>
      <c r="Y224">
        <v>67.91</v>
      </c>
      <c r="Z224">
        <v>12.63</v>
      </c>
      <c r="AB224">
        <v>120400000</v>
      </c>
      <c r="AC224">
        <v>38636360</v>
      </c>
      <c r="AD224">
        <v>120400000</v>
      </c>
      <c r="AE224">
        <v>38636360</v>
      </c>
      <c r="AG224">
        <v>87.37</v>
      </c>
      <c r="AH224">
        <v>32.090000000000003</v>
      </c>
      <c r="AI224">
        <v>1</v>
      </c>
      <c r="AJ224">
        <v>2.7225700000000002</v>
      </c>
      <c r="AK224">
        <v>0.15479999999999999</v>
      </c>
      <c r="AL224">
        <v>3.86</v>
      </c>
      <c r="AM224">
        <v>3864</v>
      </c>
      <c r="AN224">
        <v>0.4128</v>
      </c>
      <c r="AO224">
        <v>30</v>
      </c>
      <c r="AP224">
        <v>21.87</v>
      </c>
      <c r="AQ224">
        <v>0.72</v>
      </c>
      <c r="AR224">
        <v>-5.86</v>
      </c>
      <c r="AS224">
        <v>1.82</v>
      </c>
      <c r="AT224">
        <v>10.08</v>
      </c>
      <c r="AU224">
        <v>6666.69</v>
      </c>
      <c r="AV224">
        <v>35.81</v>
      </c>
      <c r="AW224">
        <v>5.28</v>
      </c>
      <c r="AX224">
        <v>2.96</v>
      </c>
      <c r="AY224">
        <v>55.842036999999998</v>
      </c>
      <c r="AZ224">
        <v>167.91213300000001</v>
      </c>
      <c r="BA224">
        <v>-5.0887039999999999</v>
      </c>
      <c r="BB224">
        <v>4.4069050000000001</v>
      </c>
      <c r="BC224">
        <v>5.0887039999999999</v>
      </c>
      <c r="BD224">
        <v>66.108812</v>
      </c>
      <c r="BE224">
        <v>261.86606</v>
      </c>
      <c r="BF224">
        <v>-3.60486</v>
      </c>
      <c r="BG224">
        <v>8.194051</v>
      </c>
      <c r="BH224">
        <v>3.60486</v>
      </c>
    </row>
    <row r="225" spans="1:60" x14ac:dyDescent="0.25">
      <c r="A225" t="s">
        <v>500</v>
      </c>
      <c r="B225" t="s">
        <v>501</v>
      </c>
      <c r="C225">
        <v>0</v>
      </c>
      <c r="D225" t="s">
        <v>499</v>
      </c>
      <c r="E225" cm="1">
        <f t="array" ref="E225">_xlfn.SWITCH(D225,"QPSK",0.1,"16QAM",0.25,"64QAM",0.5,"256QAM",0.8,"1024QAM",1,"")</f>
        <v>0.1</v>
      </c>
      <c r="F225" cm="1">
        <f t="array" ref="F225">_xlfn.SWITCH(D225,"QPSK",0.05,"16QAM",0.15,"64QAM",0.4,"256QAM",0.75,"1024QAM",1,"")</f>
        <v>0.05</v>
      </c>
      <c r="G225" t="s">
        <v>61</v>
      </c>
      <c r="H225">
        <v>4</v>
      </c>
      <c r="I225" t="s">
        <v>62</v>
      </c>
      <c r="J225">
        <v>2</v>
      </c>
      <c r="K225">
        <v>2</v>
      </c>
      <c r="L225" t="s">
        <v>63</v>
      </c>
      <c r="M225">
        <v>2</v>
      </c>
      <c r="N225">
        <v>0.47849999999999998</v>
      </c>
      <c r="O225">
        <v>0.4824</v>
      </c>
      <c r="P225">
        <v>10000</v>
      </c>
      <c r="Q225">
        <v>3660</v>
      </c>
      <c r="R225">
        <v>6340</v>
      </c>
      <c r="S225">
        <v>2.73</v>
      </c>
      <c r="T225">
        <v>1.73</v>
      </c>
      <c r="W225">
        <v>3217</v>
      </c>
      <c r="X225">
        <v>0</v>
      </c>
      <c r="Y225">
        <v>67.83</v>
      </c>
      <c r="Z225">
        <v>12.1</v>
      </c>
      <c r="AB225">
        <v>120400000</v>
      </c>
      <c r="AC225">
        <v>38732680</v>
      </c>
      <c r="AD225">
        <v>120400000</v>
      </c>
      <c r="AE225">
        <v>38732680</v>
      </c>
      <c r="AG225">
        <v>87.9</v>
      </c>
      <c r="AH225">
        <v>32.17</v>
      </c>
      <c r="AI225">
        <v>1</v>
      </c>
      <c r="AJ225">
        <v>2.73224</v>
      </c>
      <c r="AK225">
        <v>0.1552</v>
      </c>
      <c r="AL225">
        <v>3.87</v>
      </c>
      <c r="AM225">
        <v>3873</v>
      </c>
      <c r="AN225">
        <v>0.4138</v>
      </c>
      <c r="AO225">
        <v>30</v>
      </c>
      <c r="AP225">
        <v>21.87</v>
      </c>
      <c r="AQ225">
        <v>0.72</v>
      </c>
      <c r="AR225">
        <v>-5.86</v>
      </c>
      <c r="AS225">
        <v>1.82</v>
      </c>
      <c r="AT225">
        <v>10.119999999999999</v>
      </c>
      <c r="AU225">
        <v>6666.69</v>
      </c>
      <c r="AV225">
        <v>35.81</v>
      </c>
      <c r="AW225">
        <v>5.28</v>
      </c>
      <c r="AX225">
        <v>2.96</v>
      </c>
      <c r="AY225">
        <v>55.846516999999999</v>
      </c>
      <c r="AZ225">
        <v>167.99250699999999</v>
      </c>
      <c r="BA225">
        <v>-5.0879909999999997</v>
      </c>
      <c r="BB225">
        <v>4.4105860000000003</v>
      </c>
      <c r="BC225">
        <v>5.0879909999999997</v>
      </c>
      <c r="BD225">
        <v>66.104414000000006</v>
      </c>
      <c r="BE225">
        <v>261.50352400000003</v>
      </c>
      <c r="BF225">
        <v>-3.605423</v>
      </c>
      <c r="BG225">
        <v>8.17971</v>
      </c>
      <c r="BH225">
        <v>3.605423</v>
      </c>
    </row>
    <row r="226" spans="1:60" x14ac:dyDescent="0.25">
      <c r="A226" t="s">
        <v>502</v>
      </c>
      <c r="B226" t="s">
        <v>503</v>
      </c>
      <c r="C226">
        <v>0</v>
      </c>
      <c r="D226" t="s">
        <v>499</v>
      </c>
      <c r="E226" cm="1">
        <f t="array" ref="E226">_xlfn.SWITCH(D226,"QPSK",0.1,"16QAM",0.25,"64QAM",0.5,"256QAM",0.8,"1024QAM",1,"")</f>
        <v>0.1</v>
      </c>
      <c r="F226" cm="1">
        <f t="array" ref="F226">_xlfn.SWITCH(D226,"QPSK",0.05,"16QAM",0.15,"64QAM",0.4,"256QAM",0.75,"1024QAM",1,"")</f>
        <v>0.05</v>
      </c>
      <c r="G226" t="s">
        <v>61</v>
      </c>
      <c r="H226">
        <v>8</v>
      </c>
      <c r="I226" t="s">
        <v>62</v>
      </c>
      <c r="J226">
        <v>2</v>
      </c>
      <c r="K226">
        <v>2</v>
      </c>
      <c r="L226" t="s">
        <v>63</v>
      </c>
      <c r="M226">
        <v>2</v>
      </c>
      <c r="N226">
        <v>0.47849999999999998</v>
      </c>
      <c r="O226">
        <v>0.4824</v>
      </c>
      <c r="P226">
        <v>10000</v>
      </c>
      <c r="Q226">
        <v>3645</v>
      </c>
      <c r="R226">
        <v>6355</v>
      </c>
      <c r="S226">
        <v>2.74</v>
      </c>
      <c r="T226">
        <v>1.74</v>
      </c>
      <c r="W226">
        <v>3254</v>
      </c>
      <c r="X226">
        <v>0</v>
      </c>
      <c r="Y226">
        <v>67.459999999999994</v>
      </c>
      <c r="Z226">
        <v>10.73</v>
      </c>
      <c r="AB226">
        <v>120400000</v>
      </c>
      <c r="AC226">
        <v>39178160</v>
      </c>
      <c r="AD226">
        <v>120400000</v>
      </c>
      <c r="AE226">
        <v>39178160</v>
      </c>
      <c r="AG226">
        <v>89.27</v>
      </c>
      <c r="AH226">
        <v>32.54</v>
      </c>
      <c r="AI226">
        <v>1</v>
      </c>
      <c r="AJ226">
        <v>2.743484</v>
      </c>
      <c r="AK226">
        <v>0.157</v>
      </c>
      <c r="AL226">
        <v>3.92</v>
      </c>
      <c r="AM226">
        <v>3918</v>
      </c>
      <c r="AN226">
        <v>0.41860000000000003</v>
      </c>
      <c r="AO226">
        <v>30</v>
      </c>
      <c r="AP226">
        <v>21.87</v>
      </c>
      <c r="AQ226">
        <v>0.72</v>
      </c>
      <c r="AR226">
        <v>-5.86</v>
      </c>
      <c r="AS226">
        <v>1.82</v>
      </c>
      <c r="AT226">
        <v>10.08</v>
      </c>
      <c r="AU226">
        <v>6666.69</v>
      </c>
      <c r="AV226">
        <v>35.81</v>
      </c>
      <c r="AW226">
        <v>5.28</v>
      </c>
      <c r="AX226">
        <v>2.96</v>
      </c>
      <c r="AY226">
        <v>55.846209000000002</v>
      </c>
      <c r="AZ226">
        <v>168.06064900000001</v>
      </c>
      <c r="BA226">
        <v>-5.0880549999999998</v>
      </c>
      <c r="BB226">
        <v>4.4135400000000002</v>
      </c>
      <c r="BC226">
        <v>5.0880549999999998</v>
      </c>
      <c r="BD226">
        <v>66.121525000000005</v>
      </c>
      <c r="BE226">
        <v>261.68158599999998</v>
      </c>
      <c r="BF226">
        <v>-3.6032380000000002</v>
      </c>
      <c r="BG226">
        <v>8.1848609999999997</v>
      </c>
      <c r="BH226">
        <v>3.6032380000000002</v>
      </c>
    </row>
    <row r="227" spans="1:60" x14ac:dyDescent="0.25">
      <c r="A227" t="s">
        <v>504</v>
      </c>
      <c r="B227" t="s">
        <v>161</v>
      </c>
      <c r="C227">
        <v>10</v>
      </c>
      <c r="D227" t="s">
        <v>499</v>
      </c>
      <c r="E227" cm="1">
        <f t="array" ref="E227">_xlfn.SWITCH(D227,"QPSK",0.1,"16QAM",0.25,"64QAM",0.5,"256QAM",0.8,"1024QAM",1,"")</f>
        <v>0.1</v>
      </c>
      <c r="F227" cm="1">
        <f t="array" ref="F227">_xlfn.SWITCH(D227,"QPSK",0.05,"16QAM",0.15,"64QAM",0.4,"256QAM",0.75,"1024QAM",1,"")</f>
        <v>0.05</v>
      </c>
      <c r="G227" t="s">
        <v>61</v>
      </c>
      <c r="H227">
        <v>1</v>
      </c>
      <c r="I227" t="s">
        <v>62</v>
      </c>
      <c r="J227">
        <v>2</v>
      </c>
      <c r="K227">
        <v>2</v>
      </c>
      <c r="L227" t="s">
        <v>63</v>
      </c>
      <c r="M227">
        <v>2</v>
      </c>
      <c r="N227">
        <v>0.47849999999999998</v>
      </c>
      <c r="O227">
        <v>0.4824</v>
      </c>
      <c r="P227">
        <v>10000</v>
      </c>
      <c r="Q227">
        <v>9167</v>
      </c>
      <c r="R227">
        <v>833</v>
      </c>
      <c r="S227">
        <v>1.0900000000000001</v>
      </c>
      <c r="T227">
        <v>0.09</v>
      </c>
      <c r="W227">
        <v>9167</v>
      </c>
      <c r="X227">
        <v>0</v>
      </c>
      <c r="Y227">
        <v>8.33</v>
      </c>
      <c r="Z227">
        <v>0</v>
      </c>
      <c r="AB227">
        <v>120400000</v>
      </c>
      <c r="AC227">
        <v>110370680</v>
      </c>
      <c r="AD227">
        <v>120400000</v>
      </c>
      <c r="AE227">
        <v>110370680</v>
      </c>
      <c r="AG227">
        <v>100</v>
      </c>
      <c r="AH227">
        <v>91.67</v>
      </c>
      <c r="AI227">
        <v>1</v>
      </c>
      <c r="AJ227">
        <v>1.0908690000000001</v>
      </c>
      <c r="AK227">
        <v>0.44219999999999998</v>
      </c>
      <c r="AL227">
        <v>11.04</v>
      </c>
      <c r="AM227">
        <v>11037</v>
      </c>
      <c r="AN227">
        <v>1.1792</v>
      </c>
      <c r="AO227">
        <v>30</v>
      </c>
      <c r="AP227">
        <v>21.87</v>
      </c>
      <c r="AQ227">
        <v>0.72</v>
      </c>
      <c r="AR227">
        <v>-6.07</v>
      </c>
      <c r="AS227">
        <v>1.96</v>
      </c>
      <c r="AT227">
        <v>21.93</v>
      </c>
      <c r="AU227">
        <v>6666.69</v>
      </c>
      <c r="AV227">
        <v>35.81</v>
      </c>
      <c r="AW227">
        <v>10.88</v>
      </c>
      <c r="AX227">
        <v>5.45</v>
      </c>
      <c r="AY227">
        <v>29.565028999999999</v>
      </c>
      <c r="AZ227">
        <v>99.532244000000006</v>
      </c>
      <c r="BA227">
        <v>-10.790506000000001</v>
      </c>
      <c r="BB227">
        <v>-0.35039100000000001</v>
      </c>
      <c r="BC227">
        <v>10.790506000000001</v>
      </c>
      <c r="BD227">
        <v>55.085616999999999</v>
      </c>
      <c r="BE227">
        <v>180.65808699999999</v>
      </c>
      <c r="BF227">
        <v>-5.274095</v>
      </c>
      <c r="BG227">
        <v>4.9758740000000001</v>
      </c>
      <c r="BH227">
        <v>5.274095</v>
      </c>
    </row>
    <row r="228" spans="1:60" x14ac:dyDescent="0.25">
      <c r="A228" t="s">
        <v>505</v>
      </c>
      <c r="B228" t="s">
        <v>506</v>
      </c>
      <c r="C228">
        <v>10</v>
      </c>
      <c r="D228" t="s">
        <v>499</v>
      </c>
      <c r="E228" cm="1">
        <f t="array" ref="E228">_xlfn.SWITCH(D228,"QPSK",0.1,"16QAM",0.25,"64QAM",0.5,"256QAM",0.8,"1024QAM",1,"")</f>
        <v>0.1</v>
      </c>
      <c r="F228" cm="1">
        <f t="array" ref="F228">_xlfn.SWITCH(D228,"QPSK",0.05,"16QAM",0.15,"64QAM",0.4,"256QAM",0.75,"1024QAM",1,"")</f>
        <v>0.05</v>
      </c>
      <c r="G228" t="s">
        <v>61</v>
      </c>
      <c r="H228">
        <v>1</v>
      </c>
      <c r="I228" t="s">
        <v>62</v>
      </c>
      <c r="J228">
        <v>2</v>
      </c>
      <c r="K228">
        <v>2</v>
      </c>
      <c r="L228" t="s">
        <v>63</v>
      </c>
      <c r="M228">
        <v>2</v>
      </c>
      <c r="N228">
        <v>0.47849999999999998</v>
      </c>
      <c r="O228">
        <v>0.4824</v>
      </c>
      <c r="P228">
        <v>10000</v>
      </c>
      <c r="Q228">
        <v>9173</v>
      </c>
      <c r="R228">
        <v>827</v>
      </c>
      <c r="S228">
        <v>1.0900000000000001</v>
      </c>
      <c r="T228">
        <v>0.09</v>
      </c>
      <c r="W228">
        <v>9173</v>
      </c>
      <c r="X228">
        <v>0</v>
      </c>
      <c r="Y228">
        <v>8.27</v>
      </c>
      <c r="Z228">
        <v>0</v>
      </c>
      <c r="AB228">
        <v>120400000</v>
      </c>
      <c r="AC228">
        <v>110442920</v>
      </c>
      <c r="AD228">
        <v>120400000</v>
      </c>
      <c r="AE228">
        <v>110442920</v>
      </c>
      <c r="AG228">
        <v>100</v>
      </c>
      <c r="AH228">
        <v>91.73</v>
      </c>
      <c r="AI228">
        <v>1</v>
      </c>
      <c r="AJ228">
        <v>1.0901559999999999</v>
      </c>
      <c r="AK228">
        <v>0.4425</v>
      </c>
      <c r="AL228">
        <v>11.04</v>
      </c>
      <c r="AM228">
        <v>11044</v>
      </c>
      <c r="AN228">
        <v>1.1798999999999999</v>
      </c>
      <c r="AO228">
        <v>30</v>
      </c>
      <c r="AP228">
        <v>21.87</v>
      </c>
      <c r="AQ228">
        <v>0.72</v>
      </c>
      <c r="AR228">
        <v>-6.07</v>
      </c>
      <c r="AS228">
        <v>1.96</v>
      </c>
      <c r="AT228">
        <v>21.84</v>
      </c>
      <c r="AU228">
        <v>6666.69</v>
      </c>
      <c r="AV228">
        <v>35.81</v>
      </c>
      <c r="AW228">
        <v>10.88</v>
      </c>
      <c r="AX228">
        <v>5.45</v>
      </c>
      <c r="AY228">
        <v>29.570204</v>
      </c>
      <c r="AZ228">
        <v>99.622771999999998</v>
      </c>
      <c r="BA228">
        <v>-10.788582999999999</v>
      </c>
      <c r="BB228">
        <v>-0.34473999999999999</v>
      </c>
      <c r="BC228">
        <v>10.788582999999999</v>
      </c>
      <c r="BD228">
        <v>55.092879000000003</v>
      </c>
      <c r="BE228">
        <v>180.677064</v>
      </c>
      <c r="BF228">
        <v>-5.2729619999999997</v>
      </c>
      <c r="BG228">
        <v>4.9779049999999998</v>
      </c>
      <c r="BH228">
        <v>5.2729619999999997</v>
      </c>
    </row>
    <row r="229" spans="1:60" x14ac:dyDescent="0.25">
      <c r="A229" t="s">
        <v>507</v>
      </c>
      <c r="B229" t="s">
        <v>508</v>
      </c>
      <c r="C229">
        <v>10</v>
      </c>
      <c r="D229" t="s">
        <v>499</v>
      </c>
      <c r="E229" cm="1">
        <f t="array" ref="E229">_xlfn.SWITCH(D229,"QPSK",0.1,"16QAM",0.25,"64QAM",0.5,"256QAM",0.8,"1024QAM",1,"")</f>
        <v>0.1</v>
      </c>
      <c r="F229" cm="1">
        <f t="array" ref="F229">_xlfn.SWITCH(D229,"QPSK",0.05,"16QAM",0.15,"64QAM",0.4,"256QAM",0.75,"1024QAM",1,"")</f>
        <v>0.05</v>
      </c>
      <c r="G229" t="s">
        <v>61</v>
      </c>
      <c r="H229">
        <v>4</v>
      </c>
      <c r="I229" t="s">
        <v>62</v>
      </c>
      <c r="J229">
        <v>2</v>
      </c>
      <c r="K229">
        <v>2</v>
      </c>
      <c r="L229" t="s">
        <v>63</v>
      </c>
      <c r="M229">
        <v>2</v>
      </c>
      <c r="N229">
        <v>0.47849999999999998</v>
      </c>
      <c r="O229">
        <v>0.4824</v>
      </c>
      <c r="P229">
        <v>10000</v>
      </c>
      <c r="Q229">
        <v>9138</v>
      </c>
      <c r="R229">
        <v>862</v>
      </c>
      <c r="S229">
        <v>1.0900000000000001</v>
      </c>
      <c r="T229">
        <v>0.09</v>
      </c>
      <c r="W229">
        <v>9137</v>
      </c>
      <c r="X229">
        <v>0</v>
      </c>
      <c r="Y229">
        <v>8.6300000000000008</v>
      </c>
      <c r="Z229">
        <v>0.01</v>
      </c>
      <c r="AB229">
        <v>120400000</v>
      </c>
      <c r="AC229">
        <v>110009480</v>
      </c>
      <c r="AD229">
        <v>120400000</v>
      </c>
      <c r="AE229">
        <v>110009480</v>
      </c>
      <c r="AG229">
        <v>99.99</v>
      </c>
      <c r="AH229">
        <v>91.37</v>
      </c>
      <c r="AI229">
        <v>1</v>
      </c>
      <c r="AJ229">
        <v>1.0943309999999999</v>
      </c>
      <c r="AK229">
        <v>0.44069999999999998</v>
      </c>
      <c r="AL229">
        <v>11</v>
      </c>
      <c r="AM229">
        <v>11001</v>
      </c>
      <c r="AN229">
        <v>1.1753</v>
      </c>
      <c r="AO229">
        <v>30</v>
      </c>
      <c r="AP229">
        <v>21.87</v>
      </c>
      <c r="AQ229">
        <v>0.72</v>
      </c>
      <c r="AR229">
        <v>-6.07</v>
      </c>
      <c r="AS229">
        <v>1.96</v>
      </c>
      <c r="AT229">
        <v>22.04</v>
      </c>
      <c r="AU229">
        <v>6666.69</v>
      </c>
      <c r="AV229">
        <v>35.81</v>
      </c>
      <c r="AW229">
        <v>10.88</v>
      </c>
      <c r="AX229">
        <v>5.45</v>
      </c>
      <c r="AY229">
        <v>29.555024</v>
      </c>
      <c r="AZ229">
        <v>99.330646000000002</v>
      </c>
      <c r="BA229">
        <v>-10.793037999999999</v>
      </c>
      <c r="BB229">
        <v>-0.36489199999999999</v>
      </c>
      <c r="BC229">
        <v>10.793037999999999</v>
      </c>
      <c r="BD229">
        <v>55.073056000000001</v>
      </c>
      <c r="BE229">
        <v>180.24694199999999</v>
      </c>
      <c r="BF229">
        <v>-5.2760850000000001</v>
      </c>
      <c r="BG229">
        <v>4.959632</v>
      </c>
      <c r="BH229">
        <v>5.2760850000000001</v>
      </c>
    </row>
    <row r="230" spans="1:60" x14ac:dyDescent="0.25">
      <c r="A230" t="s">
        <v>509</v>
      </c>
      <c r="B230" t="s">
        <v>510</v>
      </c>
      <c r="C230">
        <v>10</v>
      </c>
      <c r="D230" t="s">
        <v>499</v>
      </c>
      <c r="E230" cm="1">
        <f t="array" ref="E230">_xlfn.SWITCH(D230,"QPSK",0.1,"16QAM",0.25,"64QAM",0.5,"256QAM",0.8,"1024QAM",1,"")</f>
        <v>0.1</v>
      </c>
      <c r="F230" cm="1">
        <f t="array" ref="F230">_xlfn.SWITCH(D230,"QPSK",0.05,"16QAM",0.15,"64QAM",0.4,"256QAM",0.75,"1024QAM",1,"")</f>
        <v>0.05</v>
      </c>
      <c r="G230" t="s">
        <v>61</v>
      </c>
      <c r="H230">
        <v>4</v>
      </c>
      <c r="I230" t="s">
        <v>62</v>
      </c>
      <c r="J230">
        <v>2</v>
      </c>
      <c r="K230">
        <v>2</v>
      </c>
      <c r="L230" t="s">
        <v>63</v>
      </c>
      <c r="M230">
        <v>2</v>
      </c>
      <c r="N230">
        <v>0.47849999999999998</v>
      </c>
      <c r="O230">
        <v>0.4824</v>
      </c>
      <c r="P230">
        <v>10000</v>
      </c>
      <c r="Q230">
        <v>9133</v>
      </c>
      <c r="R230">
        <v>867</v>
      </c>
      <c r="S230">
        <v>1.0900000000000001</v>
      </c>
      <c r="T230">
        <v>0.09</v>
      </c>
      <c r="W230">
        <v>9130</v>
      </c>
      <c r="X230">
        <v>0</v>
      </c>
      <c r="Y230">
        <v>8.6999999999999993</v>
      </c>
      <c r="Z230">
        <v>0.03</v>
      </c>
      <c r="AB230">
        <v>120400000</v>
      </c>
      <c r="AC230">
        <v>109925200</v>
      </c>
      <c r="AD230">
        <v>120400000</v>
      </c>
      <c r="AE230">
        <v>109925200</v>
      </c>
      <c r="AG230">
        <v>99.97</v>
      </c>
      <c r="AH230">
        <v>91.3</v>
      </c>
      <c r="AI230">
        <v>1</v>
      </c>
      <c r="AJ230">
        <v>1.09493</v>
      </c>
      <c r="AK230">
        <v>0.44040000000000001</v>
      </c>
      <c r="AL230">
        <v>10.99</v>
      </c>
      <c r="AM230">
        <v>10993</v>
      </c>
      <c r="AN230">
        <v>1.1744000000000001</v>
      </c>
      <c r="AO230">
        <v>30</v>
      </c>
      <c r="AP230">
        <v>21.87</v>
      </c>
      <c r="AQ230">
        <v>0.72</v>
      </c>
      <c r="AR230">
        <v>-6.07</v>
      </c>
      <c r="AS230">
        <v>1.97</v>
      </c>
      <c r="AT230">
        <v>22.12</v>
      </c>
      <c r="AU230">
        <v>6666.69</v>
      </c>
      <c r="AV230">
        <v>35.81</v>
      </c>
      <c r="AW230">
        <v>10.88</v>
      </c>
      <c r="AX230">
        <v>5.45</v>
      </c>
      <c r="AY230">
        <v>29.563272000000001</v>
      </c>
      <c r="AZ230">
        <v>99.411506000000003</v>
      </c>
      <c r="BA230">
        <v>-10.790660000000001</v>
      </c>
      <c r="BB230">
        <v>-0.35878199999999999</v>
      </c>
      <c r="BC230">
        <v>10.790660000000001</v>
      </c>
      <c r="BD230">
        <v>55.080821</v>
      </c>
      <c r="BE230">
        <v>180.628118</v>
      </c>
      <c r="BF230">
        <v>-5.2751460000000003</v>
      </c>
      <c r="BG230">
        <v>4.9765980000000001</v>
      </c>
      <c r="BH230">
        <v>5.2751460000000003</v>
      </c>
    </row>
    <row r="231" spans="1:60" x14ac:dyDescent="0.25">
      <c r="A231" t="s">
        <v>511</v>
      </c>
      <c r="B231" t="s">
        <v>512</v>
      </c>
      <c r="C231">
        <v>10</v>
      </c>
      <c r="D231" t="s">
        <v>499</v>
      </c>
      <c r="E231" cm="1">
        <f t="array" ref="E231">_xlfn.SWITCH(D231,"QPSK",0.1,"16QAM",0.25,"64QAM",0.5,"256QAM",0.8,"1024QAM",1,"")</f>
        <v>0.1</v>
      </c>
      <c r="F231" cm="1">
        <f t="array" ref="F231">_xlfn.SWITCH(D231,"QPSK",0.05,"16QAM",0.15,"64QAM",0.4,"256QAM",0.75,"1024QAM",1,"")</f>
        <v>0.05</v>
      </c>
      <c r="G231" t="s">
        <v>61</v>
      </c>
      <c r="H231">
        <v>8</v>
      </c>
      <c r="I231" t="s">
        <v>62</v>
      </c>
      <c r="J231">
        <v>2</v>
      </c>
      <c r="K231">
        <v>2</v>
      </c>
      <c r="L231" t="s">
        <v>63</v>
      </c>
      <c r="M231">
        <v>2</v>
      </c>
      <c r="N231">
        <v>0.47849999999999998</v>
      </c>
      <c r="O231">
        <v>0.4824</v>
      </c>
      <c r="P231">
        <v>10000</v>
      </c>
      <c r="Q231">
        <v>9090</v>
      </c>
      <c r="R231">
        <v>910</v>
      </c>
      <c r="S231">
        <v>1.1000000000000001</v>
      </c>
      <c r="T231">
        <v>0.1</v>
      </c>
      <c r="W231">
        <v>9084</v>
      </c>
      <c r="X231">
        <v>0</v>
      </c>
      <c r="Y231">
        <v>9.16</v>
      </c>
      <c r="Z231">
        <v>7.0000000000000007E-2</v>
      </c>
      <c r="AB231">
        <v>120400000</v>
      </c>
      <c r="AC231">
        <v>109371360</v>
      </c>
      <c r="AD231">
        <v>120400000</v>
      </c>
      <c r="AE231">
        <v>109371360</v>
      </c>
      <c r="AG231">
        <v>99.93</v>
      </c>
      <c r="AH231">
        <v>90.84</v>
      </c>
      <c r="AI231">
        <v>1</v>
      </c>
      <c r="AJ231">
        <v>1.1001099999999999</v>
      </c>
      <c r="AK231">
        <v>0.43819999999999998</v>
      </c>
      <c r="AL231">
        <v>10.94</v>
      </c>
      <c r="AM231">
        <v>10937</v>
      </c>
      <c r="AN231">
        <v>1.1685000000000001</v>
      </c>
      <c r="AO231">
        <v>30</v>
      </c>
      <c r="AP231">
        <v>21.87</v>
      </c>
      <c r="AQ231">
        <v>0.72</v>
      </c>
      <c r="AR231">
        <v>-6.07</v>
      </c>
      <c r="AS231">
        <v>1.97</v>
      </c>
      <c r="AT231">
        <v>22.07</v>
      </c>
      <c r="AU231">
        <v>6666.69</v>
      </c>
      <c r="AV231">
        <v>35.81</v>
      </c>
      <c r="AW231">
        <v>10.88</v>
      </c>
      <c r="AX231">
        <v>5.45</v>
      </c>
      <c r="AY231">
        <v>29.553754999999999</v>
      </c>
      <c r="AZ231">
        <v>99.390118000000001</v>
      </c>
      <c r="BA231">
        <v>-10.79344</v>
      </c>
      <c r="BB231">
        <v>-0.36204900000000001</v>
      </c>
      <c r="BC231">
        <v>10.79344</v>
      </c>
      <c r="BD231">
        <v>55.088155999999998</v>
      </c>
      <c r="BE231">
        <v>180.542259</v>
      </c>
      <c r="BF231">
        <v>-5.2739649999999996</v>
      </c>
      <c r="BG231">
        <v>4.9710299999999998</v>
      </c>
      <c r="BH231">
        <v>5.2739649999999996</v>
      </c>
    </row>
    <row r="232" spans="1:60" x14ac:dyDescent="0.25">
      <c r="A232" t="s">
        <v>513</v>
      </c>
      <c r="B232" t="s">
        <v>514</v>
      </c>
      <c r="C232">
        <v>10</v>
      </c>
      <c r="D232" t="s">
        <v>499</v>
      </c>
      <c r="E232" cm="1">
        <f t="array" ref="E232">_xlfn.SWITCH(D232,"QPSK",0.1,"16QAM",0.25,"64QAM",0.5,"256QAM",0.8,"1024QAM",1,"")</f>
        <v>0.1</v>
      </c>
      <c r="F232" cm="1">
        <f t="array" ref="F232">_xlfn.SWITCH(D232,"QPSK",0.05,"16QAM",0.15,"64QAM",0.4,"256QAM",0.75,"1024QAM",1,"")</f>
        <v>0.05</v>
      </c>
      <c r="G232" t="s">
        <v>61</v>
      </c>
      <c r="H232">
        <v>8</v>
      </c>
      <c r="I232" t="s">
        <v>62</v>
      </c>
      <c r="J232">
        <v>2</v>
      </c>
      <c r="K232">
        <v>2</v>
      </c>
      <c r="L232" t="s">
        <v>63</v>
      </c>
      <c r="M232">
        <v>2</v>
      </c>
      <c r="N232">
        <v>0.47849999999999998</v>
      </c>
      <c r="O232">
        <v>0.4824</v>
      </c>
      <c r="P232">
        <v>10000</v>
      </c>
      <c r="Q232">
        <v>9087</v>
      </c>
      <c r="R232">
        <v>913</v>
      </c>
      <c r="S232">
        <v>1.1000000000000001</v>
      </c>
      <c r="T232">
        <v>0.1</v>
      </c>
      <c r="W232">
        <v>9082</v>
      </c>
      <c r="X232">
        <v>0</v>
      </c>
      <c r="Y232">
        <v>9.18</v>
      </c>
      <c r="Z232">
        <v>0.06</v>
      </c>
      <c r="AB232">
        <v>120400000</v>
      </c>
      <c r="AC232">
        <v>109347280</v>
      </c>
      <c r="AD232">
        <v>120400000</v>
      </c>
      <c r="AE232">
        <v>109347280</v>
      </c>
      <c r="AG232">
        <v>99.94</v>
      </c>
      <c r="AH232">
        <v>90.82</v>
      </c>
      <c r="AI232">
        <v>1</v>
      </c>
      <c r="AJ232">
        <v>1.100473</v>
      </c>
      <c r="AK232">
        <v>0.43809999999999999</v>
      </c>
      <c r="AL232">
        <v>10.93</v>
      </c>
      <c r="AM232">
        <v>10935</v>
      </c>
      <c r="AN232">
        <v>1.1681999999999999</v>
      </c>
      <c r="AO232">
        <v>30</v>
      </c>
      <c r="AP232">
        <v>21.87</v>
      </c>
      <c r="AQ232">
        <v>0.72</v>
      </c>
      <c r="AR232">
        <v>-6.07</v>
      </c>
      <c r="AS232">
        <v>1.97</v>
      </c>
      <c r="AT232">
        <v>22.27</v>
      </c>
      <c r="AU232">
        <v>6666.69</v>
      </c>
      <c r="AV232">
        <v>35.81</v>
      </c>
      <c r="AW232">
        <v>10.88</v>
      </c>
      <c r="AX232">
        <v>5.45</v>
      </c>
      <c r="AY232">
        <v>29.566482000000001</v>
      </c>
      <c r="AZ232">
        <v>99.541122000000001</v>
      </c>
      <c r="BA232">
        <v>-10.790084</v>
      </c>
      <c r="BB232">
        <v>-0.35040100000000002</v>
      </c>
      <c r="BC232">
        <v>10.790084</v>
      </c>
      <c r="BD232">
        <v>55.082811</v>
      </c>
      <c r="BE232">
        <v>180.25121200000001</v>
      </c>
      <c r="BF232">
        <v>-5.274654</v>
      </c>
      <c r="BG232">
        <v>4.959282</v>
      </c>
      <c r="BH232">
        <v>5.274654</v>
      </c>
    </row>
    <row r="233" spans="1:60" x14ac:dyDescent="0.25">
      <c r="A233" t="s">
        <v>515</v>
      </c>
      <c r="B233" t="s">
        <v>516</v>
      </c>
      <c r="C233">
        <v>12</v>
      </c>
      <c r="D233" t="s">
        <v>499</v>
      </c>
      <c r="E233" cm="1">
        <f t="array" ref="E233">_xlfn.SWITCH(D233,"QPSK",0.1,"16QAM",0.25,"64QAM",0.5,"256QAM",0.8,"1024QAM",1,"")</f>
        <v>0.1</v>
      </c>
      <c r="F233" cm="1">
        <f t="array" ref="F233">_xlfn.SWITCH(D233,"QPSK",0.05,"16QAM",0.15,"64QAM",0.4,"256QAM",0.75,"1024QAM",1,"")</f>
        <v>0.05</v>
      </c>
      <c r="G233" t="s">
        <v>61</v>
      </c>
      <c r="H233">
        <v>1</v>
      </c>
      <c r="I233" t="s">
        <v>62</v>
      </c>
      <c r="J233">
        <v>2</v>
      </c>
      <c r="K233">
        <v>2</v>
      </c>
      <c r="L233" t="s">
        <v>63</v>
      </c>
      <c r="M233">
        <v>2</v>
      </c>
      <c r="N233">
        <v>0.47849999999999998</v>
      </c>
      <c r="O233">
        <v>0.4824</v>
      </c>
      <c r="P233">
        <v>10000</v>
      </c>
      <c r="Q233">
        <v>9618</v>
      </c>
      <c r="R233">
        <v>382</v>
      </c>
      <c r="S233">
        <v>1.04</v>
      </c>
      <c r="T233">
        <v>0.04</v>
      </c>
      <c r="W233">
        <v>9618</v>
      </c>
      <c r="X233">
        <v>0</v>
      </c>
      <c r="Y233">
        <v>3.82</v>
      </c>
      <c r="Z233">
        <v>0</v>
      </c>
      <c r="AB233">
        <v>120400000</v>
      </c>
      <c r="AC233">
        <v>115800720</v>
      </c>
      <c r="AD233">
        <v>120400000</v>
      </c>
      <c r="AE233">
        <v>115800720</v>
      </c>
      <c r="AG233">
        <v>100</v>
      </c>
      <c r="AH233">
        <v>96.18</v>
      </c>
      <c r="AI233">
        <v>1</v>
      </c>
      <c r="AJ233">
        <v>1.039717</v>
      </c>
      <c r="AK233">
        <v>0.46389999999999998</v>
      </c>
      <c r="AL233">
        <v>11.58</v>
      </c>
      <c r="AM233">
        <v>11580</v>
      </c>
      <c r="AN233">
        <v>1.2372000000000001</v>
      </c>
      <c r="AO233">
        <v>30</v>
      </c>
      <c r="AP233">
        <v>21.87</v>
      </c>
      <c r="AQ233">
        <v>0.72</v>
      </c>
      <c r="AR233">
        <v>-6.07</v>
      </c>
      <c r="AS233">
        <v>1.96</v>
      </c>
      <c r="AT233">
        <v>22.34</v>
      </c>
      <c r="AU233">
        <v>6666.69</v>
      </c>
      <c r="AV233">
        <v>35.81</v>
      </c>
      <c r="AW233">
        <v>12.14</v>
      </c>
      <c r="AX233">
        <v>6.09</v>
      </c>
      <c r="AY233">
        <v>25.572192000000001</v>
      </c>
      <c r="AZ233">
        <v>95.976111000000003</v>
      </c>
      <c r="BA233">
        <v>-12.080484999999999</v>
      </c>
      <c r="BB233">
        <v>-0.76288900000000004</v>
      </c>
      <c r="BC233">
        <v>12.080484999999999</v>
      </c>
      <c r="BD233">
        <v>51.547289999999997</v>
      </c>
      <c r="BE233">
        <v>175.58204699999999</v>
      </c>
      <c r="BF233">
        <v>-5.8924500000000002</v>
      </c>
      <c r="BG233">
        <v>4.7693760000000003</v>
      </c>
      <c r="BH233">
        <v>5.8924500000000002</v>
      </c>
    </row>
    <row r="234" spans="1:60" x14ac:dyDescent="0.25">
      <c r="A234" t="s">
        <v>517</v>
      </c>
      <c r="B234" t="s">
        <v>518</v>
      </c>
      <c r="C234">
        <v>12</v>
      </c>
      <c r="D234" t="s">
        <v>499</v>
      </c>
      <c r="E234" cm="1">
        <f t="array" ref="E234">_xlfn.SWITCH(D234,"QPSK",0.1,"16QAM",0.25,"64QAM",0.5,"256QAM",0.8,"1024QAM",1,"")</f>
        <v>0.1</v>
      </c>
      <c r="F234" cm="1">
        <f t="array" ref="F234">_xlfn.SWITCH(D234,"QPSK",0.05,"16QAM",0.15,"64QAM",0.4,"256QAM",0.75,"1024QAM",1,"")</f>
        <v>0.05</v>
      </c>
      <c r="G234" t="s">
        <v>61</v>
      </c>
      <c r="H234">
        <v>4</v>
      </c>
      <c r="I234" t="s">
        <v>62</v>
      </c>
      <c r="J234">
        <v>2</v>
      </c>
      <c r="K234">
        <v>2</v>
      </c>
      <c r="L234" t="s">
        <v>63</v>
      </c>
      <c r="M234">
        <v>2</v>
      </c>
      <c r="N234">
        <v>0.47849999999999998</v>
      </c>
      <c r="O234">
        <v>0.4824</v>
      </c>
      <c r="P234">
        <v>10000</v>
      </c>
      <c r="Q234">
        <v>9595</v>
      </c>
      <c r="R234">
        <v>405</v>
      </c>
      <c r="S234">
        <v>1.04</v>
      </c>
      <c r="T234">
        <v>0.04</v>
      </c>
      <c r="W234">
        <v>9594</v>
      </c>
      <c r="X234">
        <v>0</v>
      </c>
      <c r="Y234">
        <v>4.0599999999999996</v>
      </c>
      <c r="Z234">
        <v>0.01</v>
      </c>
      <c r="AB234">
        <v>120400000</v>
      </c>
      <c r="AC234">
        <v>115511760</v>
      </c>
      <c r="AD234">
        <v>120400000</v>
      </c>
      <c r="AE234">
        <v>115511760</v>
      </c>
      <c r="AG234">
        <v>99.99</v>
      </c>
      <c r="AH234">
        <v>95.94</v>
      </c>
      <c r="AI234">
        <v>1</v>
      </c>
      <c r="AJ234">
        <v>1.0422089999999999</v>
      </c>
      <c r="AK234">
        <v>0.46279999999999999</v>
      </c>
      <c r="AL234">
        <v>11.55</v>
      </c>
      <c r="AM234">
        <v>11551</v>
      </c>
      <c r="AN234">
        <v>1.2341</v>
      </c>
      <c r="AO234">
        <v>30</v>
      </c>
      <c r="AP234">
        <v>21.87</v>
      </c>
      <c r="AQ234">
        <v>0.72</v>
      </c>
      <c r="AR234">
        <v>-6.07</v>
      </c>
      <c r="AS234">
        <v>1.96</v>
      </c>
      <c r="AT234">
        <v>22.25</v>
      </c>
      <c r="AU234">
        <v>6666.69</v>
      </c>
      <c r="AV234">
        <v>35.81</v>
      </c>
      <c r="AW234">
        <v>12.14</v>
      </c>
      <c r="AX234">
        <v>6.09</v>
      </c>
      <c r="AY234">
        <v>25.585077999999999</v>
      </c>
      <c r="AZ234">
        <v>95.901121000000003</v>
      </c>
      <c r="BA234">
        <v>-12.075434</v>
      </c>
      <c r="BB234">
        <v>-0.76341099999999995</v>
      </c>
      <c r="BC234">
        <v>12.075434</v>
      </c>
      <c r="BD234">
        <v>51.556316000000002</v>
      </c>
      <c r="BE234">
        <v>175.747016</v>
      </c>
      <c r="BF234">
        <v>-5.8909779999999996</v>
      </c>
      <c r="BG234">
        <v>4.7756949999999998</v>
      </c>
      <c r="BH234">
        <v>5.8909779999999996</v>
      </c>
    </row>
    <row r="235" spans="1:60" x14ac:dyDescent="0.25">
      <c r="A235" t="s">
        <v>519</v>
      </c>
      <c r="B235" t="s">
        <v>520</v>
      </c>
      <c r="C235">
        <v>12</v>
      </c>
      <c r="D235" t="s">
        <v>499</v>
      </c>
      <c r="E235" cm="1">
        <f t="array" ref="E235">_xlfn.SWITCH(D235,"QPSK",0.1,"16QAM",0.25,"64QAM",0.5,"256QAM",0.8,"1024QAM",1,"")</f>
        <v>0.1</v>
      </c>
      <c r="F235" cm="1">
        <f t="array" ref="F235">_xlfn.SWITCH(D235,"QPSK",0.05,"16QAM",0.15,"64QAM",0.4,"256QAM",0.75,"1024QAM",1,"")</f>
        <v>0.05</v>
      </c>
      <c r="G235" t="s">
        <v>61</v>
      </c>
      <c r="H235">
        <v>8</v>
      </c>
      <c r="I235" t="s">
        <v>62</v>
      </c>
      <c r="J235">
        <v>2</v>
      </c>
      <c r="K235">
        <v>2</v>
      </c>
      <c r="L235" t="s">
        <v>63</v>
      </c>
      <c r="M235">
        <v>2</v>
      </c>
      <c r="N235">
        <v>0.47849999999999998</v>
      </c>
      <c r="O235">
        <v>0.4824</v>
      </c>
      <c r="P235">
        <v>10000</v>
      </c>
      <c r="Q235">
        <v>9563</v>
      </c>
      <c r="R235">
        <v>437</v>
      </c>
      <c r="S235">
        <v>1.05</v>
      </c>
      <c r="T235">
        <v>0.05</v>
      </c>
      <c r="W235">
        <v>9561</v>
      </c>
      <c r="X235">
        <v>0</v>
      </c>
      <c r="Y235">
        <v>4.3899999999999997</v>
      </c>
      <c r="Z235">
        <v>0.02</v>
      </c>
      <c r="AB235">
        <v>120400000</v>
      </c>
      <c r="AC235">
        <v>115114440</v>
      </c>
      <c r="AD235">
        <v>120400000</v>
      </c>
      <c r="AE235">
        <v>115114440</v>
      </c>
      <c r="AG235">
        <v>99.98</v>
      </c>
      <c r="AH235">
        <v>95.61</v>
      </c>
      <c r="AI235">
        <v>1</v>
      </c>
      <c r="AJ235">
        <v>1.0456970000000001</v>
      </c>
      <c r="AK235">
        <v>0.4612</v>
      </c>
      <c r="AL235">
        <v>11.51</v>
      </c>
      <c r="AM235">
        <v>11511</v>
      </c>
      <c r="AN235">
        <v>1.2299</v>
      </c>
      <c r="AO235">
        <v>30</v>
      </c>
      <c r="AP235">
        <v>21.87</v>
      </c>
      <c r="AQ235">
        <v>0.72</v>
      </c>
      <c r="AR235">
        <v>-6.07</v>
      </c>
      <c r="AS235">
        <v>1.96</v>
      </c>
      <c r="AT235">
        <v>22.46</v>
      </c>
      <c r="AU235">
        <v>6666.69</v>
      </c>
      <c r="AV235">
        <v>35.81</v>
      </c>
      <c r="AW235">
        <v>12.14</v>
      </c>
      <c r="AX235">
        <v>6.09</v>
      </c>
      <c r="AY235">
        <v>25.589319</v>
      </c>
      <c r="AZ235">
        <v>96.122674000000004</v>
      </c>
      <c r="BA235">
        <v>-12.073448000000001</v>
      </c>
      <c r="BB235">
        <v>-0.74201499999999998</v>
      </c>
      <c r="BC235">
        <v>12.073448000000001</v>
      </c>
      <c r="BD235">
        <v>51.559465000000003</v>
      </c>
      <c r="BE235">
        <v>175.670264</v>
      </c>
      <c r="BF235">
        <v>-5.8903249999999998</v>
      </c>
      <c r="BG235">
        <v>4.7744530000000003</v>
      </c>
      <c r="BH235">
        <v>5.8903249999999998</v>
      </c>
    </row>
    <row r="236" spans="1:60" x14ac:dyDescent="0.25">
      <c r="A236" t="s">
        <v>521</v>
      </c>
      <c r="B236" t="s">
        <v>161</v>
      </c>
      <c r="C236">
        <v>14</v>
      </c>
      <c r="D236" t="s">
        <v>499</v>
      </c>
      <c r="E236" cm="1">
        <f t="array" ref="E236">_xlfn.SWITCH(D236,"QPSK",0.1,"16QAM",0.25,"64QAM",0.5,"256QAM",0.8,"1024QAM",1,"")</f>
        <v>0.1</v>
      </c>
      <c r="F236" cm="1">
        <f t="array" ref="F236">_xlfn.SWITCH(D236,"QPSK",0.05,"16QAM",0.15,"64QAM",0.4,"256QAM",0.75,"1024QAM",1,"")</f>
        <v>0.05</v>
      </c>
      <c r="G236" t="s">
        <v>61</v>
      </c>
      <c r="H236">
        <v>1</v>
      </c>
      <c r="I236" t="s">
        <v>62</v>
      </c>
      <c r="J236">
        <v>2</v>
      </c>
      <c r="K236">
        <v>2</v>
      </c>
      <c r="L236" t="s">
        <v>63</v>
      </c>
      <c r="M236">
        <v>2</v>
      </c>
      <c r="N236">
        <v>0.47849999999999998</v>
      </c>
      <c r="O236">
        <v>0.4824</v>
      </c>
      <c r="P236">
        <v>10000</v>
      </c>
      <c r="Q236">
        <v>9877</v>
      </c>
      <c r="R236">
        <v>123</v>
      </c>
      <c r="S236">
        <v>1.01</v>
      </c>
      <c r="T236">
        <v>0.01</v>
      </c>
      <c r="W236">
        <v>9877</v>
      </c>
      <c r="X236">
        <v>0</v>
      </c>
      <c r="Y236">
        <v>1.23</v>
      </c>
      <c r="Z236">
        <v>0</v>
      </c>
      <c r="AB236">
        <v>120400000</v>
      </c>
      <c r="AC236">
        <v>118919080</v>
      </c>
      <c r="AD236">
        <v>120400000</v>
      </c>
      <c r="AE236">
        <v>118919080</v>
      </c>
      <c r="AG236">
        <v>100</v>
      </c>
      <c r="AH236">
        <v>98.77</v>
      </c>
      <c r="AI236">
        <v>1</v>
      </c>
      <c r="AJ236">
        <v>1.012453</v>
      </c>
      <c r="AK236">
        <v>0.47639999999999999</v>
      </c>
      <c r="AL236">
        <v>11.89</v>
      </c>
      <c r="AM236">
        <v>11892</v>
      </c>
      <c r="AN236">
        <v>1.2705</v>
      </c>
      <c r="AO236">
        <v>30</v>
      </c>
      <c r="AP236">
        <v>21.87</v>
      </c>
      <c r="AQ236">
        <v>0.72</v>
      </c>
      <c r="AR236">
        <v>-6.08</v>
      </c>
      <c r="AS236">
        <v>1.95</v>
      </c>
      <c r="AT236">
        <v>22.86</v>
      </c>
      <c r="AU236">
        <v>6666.69</v>
      </c>
      <c r="AV236">
        <v>35.81</v>
      </c>
      <c r="AW236">
        <v>13.51</v>
      </c>
      <c r="AX236">
        <v>6.88</v>
      </c>
      <c r="AY236">
        <v>21.86767</v>
      </c>
      <c r="AZ236">
        <v>88.819732999999999</v>
      </c>
      <c r="BA236">
        <v>-13.468429</v>
      </c>
      <c r="BB236">
        <v>-1.4581329999999999</v>
      </c>
      <c r="BC236">
        <v>13.468429</v>
      </c>
      <c r="BD236">
        <v>47.368402000000003</v>
      </c>
      <c r="BE236">
        <v>169.59498500000001</v>
      </c>
      <c r="BF236">
        <v>-6.6977599999999997</v>
      </c>
      <c r="BG236">
        <v>4.4663729999999999</v>
      </c>
      <c r="BH236">
        <v>6.6977599999999997</v>
      </c>
    </row>
    <row r="237" spans="1:60" x14ac:dyDescent="0.25">
      <c r="A237" t="s">
        <v>522</v>
      </c>
      <c r="B237" t="s">
        <v>523</v>
      </c>
      <c r="C237">
        <v>14</v>
      </c>
      <c r="D237" t="s">
        <v>499</v>
      </c>
      <c r="E237" cm="1">
        <f t="array" ref="E237">_xlfn.SWITCH(D237,"QPSK",0.1,"16QAM",0.25,"64QAM",0.5,"256QAM",0.8,"1024QAM",1,"")</f>
        <v>0.1</v>
      </c>
      <c r="F237" cm="1">
        <f t="array" ref="F237">_xlfn.SWITCH(D237,"QPSK",0.05,"16QAM",0.15,"64QAM",0.4,"256QAM",0.75,"1024QAM",1,"")</f>
        <v>0.05</v>
      </c>
      <c r="G237" t="s">
        <v>61</v>
      </c>
      <c r="H237">
        <v>4</v>
      </c>
      <c r="I237" t="s">
        <v>62</v>
      </c>
      <c r="J237">
        <v>2</v>
      </c>
      <c r="K237">
        <v>2</v>
      </c>
      <c r="L237" t="s">
        <v>63</v>
      </c>
      <c r="M237">
        <v>2</v>
      </c>
      <c r="N237">
        <v>0.47849999999999998</v>
      </c>
      <c r="O237">
        <v>0.4824</v>
      </c>
      <c r="P237">
        <v>10000</v>
      </c>
      <c r="Q237">
        <v>9875</v>
      </c>
      <c r="R237">
        <v>125</v>
      </c>
      <c r="S237">
        <v>1.01</v>
      </c>
      <c r="T237">
        <v>0.01</v>
      </c>
      <c r="W237">
        <v>9875</v>
      </c>
      <c r="X237">
        <v>0</v>
      </c>
      <c r="Y237">
        <v>1.25</v>
      </c>
      <c r="Z237">
        <v>0</v>
      </c>
      <c r="AB237">
        <v>120400000</v>
      </c>
      <c r="AC237">
        <v>118895000</v>
      </c>
      <c r="AD237">
        <v>120400000</v>
      </c>
      <c r="AE237">
        <v>118895000</v>
      </c>
      <c r="AG237">
        <v>100</v>
      </c>
      <c r="AH237">
        <v>98.75</v>
      </c>
      <c r="AI237">
        <v>1</v>
      </c>
      <c r="AJ237">
        <v>1.0126580000000001</v>
      </c>
      <c r="AK237">
        <v>0.4763</v>
      </c>
      <c r="AL237">
        <v>11.89</v>
      </c>
      <c r="AM237">
        <v>11890</v>
      </c>
      <c r="AN237">
        <v>1.2702</v>
      </c>
      <c r="AO237">
        <v>30</v>
      </c>
      <c r="AP237">
        <v>21.87</v>
      </c>
      <c r="AQ237">
        <v>0.72</v>
      </c>
      <c r="AR237">
        <v>-6.08</v>
      </c>
      <c r="AS237">
        <v>1.95</v>
      </c>
      <c r="AT237">
        <v>23</v>
      </c>
      <c r="AU237">
        <v>6666.69</v>
      </c>
      <c r="AV237">
        <v>35.81</v>
      </c>
      <c r="AW237">
        <v>13.51</v>
      </c>
      <c r="AX237">
        <v>6.88</v>
      </c>
      <c r="AY237">
        <v>21.871993</v>
      </c>
      <c r="AZ237">
        <v>88.895993000000004</v>
      </c>
      <c r="BA237">
        <v>-13.466680999999999</v>
      </c>
      <c r="BB237">
        <v>-1.454135</v>
      </c>
      <c r="BC237">
        <v>13.466680999999999</v>
      </c>
      <c r="BD237">
        <v>47.371760999999999</v>
      </c>
      <c r="BE237">
        <v>170.12872100000001</v>
      </c>
      <c r="BF237">
        <v>-6.6970109999999998</v>
      </c>
      <c r="BG237">
        <v>4.495107</v>
      </c>
      <c r="BH237">
        <v>6.6970109999999998</v>
      </c>
    </row>
    <row r="238" spans="1:60" x14ac:dyDescent="0.25">
      <c r="A238" t="s">
        <v>524</v>
      </c>
      <c r="B238" t="s">
        <v>525</v>
      </c>
      <c r="C238">
        <v>14</v>
      </c>
      <c r="D238" t="s">
        <v>499</v>
      </c>
      <c r="E238" cm="1">
        <f t="array" ref="E238">_xlfn.SWITCH(D238,"QPSK",0.1,"16QAM",0.25,"64QAM",0.5,"256QAM",0.8,"1024QAM",1,"")</f>
        <v>0.1</v>
      </c>
      <c r="F238" cm="1">
        <f t="array" ref="F238">_xlfn.SWITCH(D238,"QPSK",0.05,"16QAM",0.15,"64QAM",0.4,"256QAM",0.75,"1024QAM",1,"")</f>
        <v>0.05</v>
      </c>
      <c r="G238" t="s">
        <v>61</v>
      </c>
      <c r="H238">
        <v>8</v>
      </c>
      <c r="I238" t="s">
        <v>62</v>
      </c>
      <c r="J238">
        <v>2</v>
      </c>
      <c r="K238">
        <v>2</v>
      </c>
      <c r="L238" t="s">
        <v>63</v>
      </c>
      <c r="M238">
        <v>2</v>
      </c>
      <c r="N238">
        <v>0.47849999999999998</v>
      </c>
      <c r="O238">
        <v>0.4824</v>
      </c>
      <c r="P238">
        <v>10000</v>
      </c>
      <c r="Q238">
        <v>9848</v>
      </c>
      <c r="R238">
        <v>152</v>
      </c>
      <c r="S238">
        <v>1.02</v>
      </c>
      <c r="T238">
        <v>0.02</v>
      </c>
      <c r="W238">
        <v>9848</v>
      </c>
      <c r="X238">
        <v>0</v>
      </c>
      <c r="Y238">
        <v>1.52</v>
      </c>
      <c r="Z238">
        <v>0</v>
      </c>
      <c r="AB238">
        <v>120400000</v>
      </c>
      <c r="AC238">
        <v>118569920</v>
      </c>
      <c r="AD238">
        <v>120400000</v>
      </c>
      <c r="AE238">
        <v>118569920</v>
      </c>
      <c r="AG238">
        <v>100</v>
      </c>
      <c r="AH238">
        <v>98.48</v>
      </c>
      <c r="AI238">
        <v>1</v>
      </c>
      <c r="AJ238">
        <v>1.0154350000000001</v>
      </c>
      <c r="AK238">
        <v>0.47499999999999998</v>
      </c>
      <c r="AL238">
        <v>11.86</v>
      </c>
      <c r="AM238">
        <v>11857</v>
      </c>
      <c r="AN238">
        <v>1.2667999999999999</v>
      </c>
      <c r="AO238">
        <v>30</v>
      </c>
      <c r="AP238">
        <v>21.87</v>
      </c>
      <c r="AQ238">
        <v>0.72</v>
      </c>
      <c r="AR238">
        <v>-6.08</v>
      </c>
      <c r="AS238">
        <v>1.95</v>
      </c>
      <c r="AT238">
        <v>23</v>
      </c>
      <c r="AU238">
        <v>6666.69</v>
      </c>
      <c r="AV238">
        <v>35.81</v>
      </c>
      <c r="AW238">
        <v>13.52</v>
      </c>
      <c r="AX238">
        <v>6.89</v>
      </c>
      <c r="AY238">
        <v>21.852640999999998</v>
      </c>
      <c r="AZ238">
        <v>88.561773000000002</v>
      </c>
      <c r="BA238">
        <v>-13.474762</v>
      </c>
      <c r="BB238">
        <v>-1.4809319999999999</v>
      </c>
      <c r="BC238">
        <v>13.474762</v>
      </c>
      <c r="BD238">
        <v>47.353828999999998</v>
      </c>
      <c r="BE238">
        <v>169.644094</v>
      </c>
      <c r="BF238">
        <v>-6.7009600000000002</v>
      </c>
      <c r="BG238">
        <v>4.4678199999999997</v>
      </c>
      <c r="BH238">
        <v>6.7009600000000002</v>
      </c>
    </row>
    <row r="239" spans="1:60" x14ac:dyDescent="0.25">
      <c r="A239" t="s">
        <v>526</v>
      </c>
      <c r="B239" t="s">
        <v>527</v>
      </c>
      <c r="C239">
        <v>16</v>
      </c>
      <c r="D239" t="s">
        <v>499</v>
      </c>
      <c r="E239" cm="1">
        <f t="array" ref="E239">_xlfn.SWITCH(D239,"QPSK",0.1,"16QAM",0.25,"64QAM",0.5,"256QAM",0.8,"1024QAM",1,"")</f>
        <v>0.1</v>
      </c>
      <c r="F239" cm="1">
        <f t="array" ref="F239">_xlfn.SWITCH(D239,"QPSK",0.05,"16QAM",0.15,"64QAM",0.4,"256QAM",0.75,"1024QAM",1,"")</f>
        <v>0.05</v>
      </c>
      <c r="G239" t="s">
        <v>61</v>
      </c>
      <c r="H239">
        <v>1</v>
      </c>
      <c r="I239" t="s">
        <v>62</v>
      </c>
      <c r="J239">
        <v>2</v>
      </c>
      <c r="K239">
        <v>2</v>
      </c>
      <c r="L239" t="s">
        <v>63</v>
      </c>
      <c r="M239">
        <v>2</v>
      </c>
      <c r="N239">
        <v>0.47849999999999998</v>
      </c>
      <c r="O239">
        <v>0.4824</v>
      </c>
      <c r="P239">
        <v>10000</v>
      </c>
      <c r="Q239">
        <v>9975</v>
      </c>
      <c r="R239">
        <v>25</v>
      </c>
      <c r="S239">
        <v>1</v>
      </c>
      <c r="T239">
        <v>0</v>
      </c>
      <c r="W239">
        <v>9975</v>
      </c>
      <c r="X239">
        <v>0</v>
      </c>
      <c r="Y239">
        <v>0.25</v>
      </c>
      <c r="Z239">
        <v>0</v>
      </c>
      <c r="AB239">
        <v>120400000</v>
      </c>
      <c r="AC239">
        <v>120099000</v>
      </c>
      <c r="AD239">
        <v>120400000</v>
      </c>
      <c r="AE239">
        <v>120099000</v>
      </c>
      <c r="AG239">
        <v>100</v>
      </c>
      <c r="AH239">
        <v>99.75</v>
      </c>
      <c r="AI239">
        <v>1</v>
      </c>
      <c r="AJ239">
        <v>1.0025059999999999</v>
      </c>
      <c r="AK239">
        <v>0.48120000000000002</v>
      </c>
      <c r="AL239">
        <v>12.01</v>
      </c>
      <c r="AM239">
        <v>12010</v>
      </c>
      <c r="AN239">
        <v>1.2830999999999999</v>
      </c>
      <c r="AO239">
        <v>30</v>
      </c>
      <c r="AP239">
        <v>21.87</v>
      </c>
      <c r="AQ239">
        <v>0.72</v>
      </c>
      <c r="AR239">
        <v>-6.09</v>
      </c>
      <c r="AS239">
        <v>1.94</v>
      </c>
      <c r="AT239">
        <v>23.38</v>
      </c>
      <c r="AU239">
        <v>6666.69</v>
      </c>
      <c r="AV239">
        <v>35.81</v>
      </c>
      <c r="AW239">
        <v>14.95</v>
      </c>
      <c r="AX239">
        <v>7.83</v>
      </c>
      <c r="AY239">
        <v>18.59056</v>
      </c>
      <c r="AZ239">
        <v>80.454757000000001</v>
      </c>
      <c r="BA239">
        <v>-14.921856999999999</v>
      </c>
      <c r="BB239">
        <v>-2.330212</v>
      </c>
      <c r="BC239">
        <v>14.921856999999999</v>
      </c>
      <c r="BD239">
        <v>42.841613000000002</v>
      </c>
      <c r="BE239">
        <v>164.04323500000001</v>
      </c>
      <c r="BF239">
        <v>-7.673216</v>
      </c>
      <c r="BG239">
        <v>4.131456</v>
      </c>
      <c r="BH239">
        <v>7.673216</v>
      </c>
    </row>
    <row r="240" spans="1:60" x14ac:dyDescent="0.25">
      <c r="A240" t="s">
        <v>528</v>
      </c>
      <c r="B240" t="s">
        <v>529</v>
      </c>
      <c r="C240">
        <v>16</v>
      </c>
      <c r="D240" t="s">
        <v>499</v>
      </c>
      <c r="E240" cm="1">
        <f t="array" ref="E240">_xlfn.SWITCH(D240,"QPSK",0.1,"16QAM",0.25,"64QAM",0.5,"256QAM",0.8,"1024QAM",1,"")</f>
        <v>0.1</v>
      </c>
      <c r="F240" cm="1">
        <f t="array" ref="F240">_xlfn.SWITCH(D240,"QPSK",0.05,"16QAM",0.15,"64QAM",0.4,"256QAM",0.75,"1024QAM",1,"")</f>
        <v>0.05</v>
      </c>
      <c r="G240" t="s">
        <v>61</v>
      </c>
      <c r="H240">
        <v>4</v>
      </c>
      <c r="I240" t="s">
        <v>62</v>
      </c>
      <c r="J240">
        <v>2</v>
      </c>
      <c r="K240">
        <v>2</v>
      </c>
      <c r="L240" t="s">
        <v>63</v>
      </c>
      <c r="M240">
        <v>2</v>
      </c>
      <c r="N240">
        <v>0.47849999999999998</v>
      </c>
      <c r="O240">
        <v>0.4824</v>
      </c>
      <c r="P240">
        <v>10000</v>
      </c>
      <c r="Q240">
        <v>9970</v>
      </c>
      <c r="R240">
        <v>30</v>
      </c>
      <c r="S240">
        <v>1</v>
      </c>
      <c r="T240">
        <v>0</v>
      </c>
      <c r="W240">
        <v>9970</v>
      </c>
      <c r="X240">
        <v>0</v>
      </c>
      <c r="Y240">
        <v>0.3</v>
      </c>
      <c r="Z240">
        <v>0</v>
      </c>
      <c r="AB240">
        <v>120400000</v>
      </c>
      <c r="AC240">
        <v>120038800</v>
      </c>
      <c r="AD240">
        <v>120400000</v>
      </c>
      <c r="AE240">
        <v>120038800</v>
      </c>
      <c r="AG240">
        <v>100</v>
      </c>
      <c r="AH240">
        <v>99.7</v>
      </c>
      <c r="AI240">
        <v>1</v>
      </c>
      <c r="AJ240">
        <v>1.003009</v>
      </c>
      <c r="AK240">
        <v>0.48089999999999999</v>
      </c>
      <c r="AL240">
        <v>12</v>
      </c>
      <c r="AM240">
        <v>12004</v>
      </c>
      <c r="AN240">
        <v>1.2825</v>
      </c>
      <c r="AO240">
        <v>30</v>
      </c>
      <c r="AP240">
        <v>21.87</v>
      </c>
      <c r="AQ240">
        <v>0.72</v>
      </c>
      <c r="AR240">
        <v>-6.09</v>
      </c>
      <c r="AS240">
        <v>1.94</v>
      </c>
      <c r="AT240">
        <v>23.29</v>
      </c>
      <c r="AU240">
        <v>6666.69</v>
      </c>
      <c r="AV240">
        <v>35.81</v>
      </c>
      <c r="AW240">
        <v>14.95</v>
      </c>
      <c r="AX240">
        <v>7.84</v>
      </c>
      <c r="AY240">
        <v>18.581616</v>
      </c>
      <c r="AZ240">
        <v>80.064346</v>
      </c>
      <c r="BA240">
        <v>-14.924847</v>
      </c>
      <c r="BB240">
        <v>-2.3685909999999999</v>
      </c>
      <c r="BC240">
        <v>14.924847</v>
      </c>
      <c r="BD240">
        <v>42.832576000000003</v>
      </c>
      <c r="BE240">
        <v>163.529189</v>
      </c>
      <c r="BF240">
        <v>-7.6754519999999999</v>
      </c>
      <c r="BG240">
        <v>4.104044</v>
      </c>
      <c r="BH240">
        <v>7.6754519999999999</v>
      </c>
    </row>
    <row r="241" spans="1:60" x14ac:dyDescent="0.25">
      <c r="A241" t="s">
        <v>530</v>
      </c>
      <c r="B241" t="s">
        <v>531</v>
      </c>
      <c r="C241">
        <v>16</v>
      </c>
      <c r="D241" t="s">
        <v>499</v>
      </c>
      <c r="E241" cm="1">
        <f t="array" ref="E241">_xlfn.SWITCH(D241,"QPSK",0.1,"16QAM",0.25,"64QAM",0.5,"256QAM",0.8,"1024QAM",1,"")</f>
        <v>0.1</v>
      </c>
      <c r="F241" cm="1">
        <f t="array" ref="F241">_xlfn.SWITCH(D241,"QPSK",0.05,"16QAM",0.15,"64QAM",0.4,"256QAM",0.75,"1024QAM",1,"")</f>
        <v>0.05</v>
      </c>
      <c r="G241" t="s">
        <v>61</v>
      </c>
      <c r="H241">
        <v>8</v>
      </c>
      <c r="I241" t="s">
        <v>62</v>
      </c>
      <c r="J241">
        <v>2</v>
      </c>
      <c r="K241">
        <v>2</v>
      </c>
      <c r="L241" t="s">
        <v>63</v>
      </c>
      <c r="M241">
        <v>2</v>
      </c>
      <c r="N241">
        <v>0.47849999999999998</v>
      </c>
      <c r="O241">
        <v>0.4824</v>
      </c>
      <c r="P241">
        <v>10000</v>
      </c>
      <c r="Q241">
        <v>9961</v>
      </c>
      <c r="R241">
        <v>39</v>
      </c>
      <c r="S241">
        <v>1</v>
      </c>
      <c r="T241">
        <v>0</v>
      </c>
      <c r="W241">
        <v>9961</v>
      </c>
      <c r="X241">
        <v>0</v>
      </c>
      <c r="Y241">
        <v>0.39</v>
      </c>
      <c r="Z241">
        <v>0</v>
      </c>
      <c r="AB241">
        <v>120400000</v>
      </c>
      <c r="AC241">
        <v>119930440</v>
      </c>
      <c r="AD241">
        <v>120400000</v>
      </c>
      <c r="AE241">
        <v>119930440</v>
      </c>
      <c r="AG241">
        <v>100</v>
      </c>
      <c r="AH241">
        <v>99.61</v>
      </c>
      <c r="AI241">
        <v>1</v>
      </c>
      <c r="AJ241">
        <v>1.0039149999999999</v>
      </c>
      <c r="AK241">
        <v>0.48049999999999998</v>
      </c>
      <c r="AL241">
        <v>11.99</v>
      </c>
      <c r="AM241">
        <v>11993</v>
      </c>
      <c r="AN241">
        <v>1.2813000000000001</v>
      </c>
      <c r="AO241">
        <v>30</v>
      </c>
      <c r="AP241">
        <v>21.87</v>
      </c>
      <c r="AQ241">
        <v>0.72</v>
      </c>
      <c r="AR241">
        <v>-6.09</v>
      </c>
      <c r="AS241">
        <v>1.94</v>
      </c>
      <c r="AT241">
        <v>23.28</v>
      </c>
      <c r="AU241">
        <v>6666.69</v>
      </c>
      <c r="AV241">
        <v>35.81</v>
      </c>
      <c r="AW241">
        <v>14.95</v>
      </c>
      <c r="AX241">
        <v>7.83</v>
      </c>
      <c r="AY241">
        <v>18.586849999999998</v>
      </c>
      <c r="AZ241">
        <v>80.174627999999998</v>
      </c>
      <c r="BA241">
        <v>-14.923128999999999</v>
      </c>
      <c r="BB241">
        <v>-2.3604720000000001</v>
      </c>
      <c r="BC241">
        <v>14.923128999999999</v>
      </c>
      <c r="BD241">
        <v>42.837229000000001</v>
      </c>
      <c r="BE241">
        <v>164.20353</v>
      </c>
      <c r="BF241">
        <v>-7.6730159999999996</v>
      </c>
      <c r="BG241">
        <v>4.1452470000000003</v>
      </c>
      <c r="BH241">
        <v>7.6730159999999996</v>
      </c>
    </row>
    <row r="242" spans="1:60" x14ac:dyDescent="0.25">
      <c r="A242" t="s">
        <v>532</v>
      </c>
      <c r="B242" t="s">
        <v>161</v>
      </c>
      <c r="C242">
        <v>18</v>
      </c>
      <c r="D242" t="s">
        <v>499</v>
      </c>
      <c r="E242" cm="1">
        <f t="array" ref="E242">_xlfn.SWITCH(D242,"QPSK",0.1,"16QAM",0.25,"64QAM",0.5,"256QAM",0.8,"1024QAM",1,"")</f>
        <v>0.1</v>
      </c>
      <c r="F242" cm="1">
        <f t="array" ref="F242">_xlfn.SWITCH(D242,"QPSK",0.05,"16QAM",0.15,"64QAM",0.4,"256QAM",0.75,"1024QAM",1,"")</f>
        <v>0.05</v>
      </c>
      <c r="G242" t="s">
        <v>61</v>
      </c>
      <c r="H242">
        <v>1</v>
      </c>
      <c r="I242" t="s">
        <v>62</v>
      </c>
      <c r="J242">
        <v>2</v>
      </c>
      <c r="K242">
        <v>2</v>
      </c>
      <c r="L242" t="s">
        <v>63</v>
      </c>
      <c r="M242">
        <v>2</v>
      </c>
      <c r="N242">
        <v>0.47849999999999998</v>
      </c>
      <c r="O242">
        <v>0.4824</v>
      </c>
      <c r="P242">
        <v>10000</v>
      </c>
      <c r="Q242">
        <v>9993</v>
      </c>
      <c r="R242">
        <v>7</v>
      </c>
      <c r="S242">
        <v>1</v>
      </c>
      <c r="T242">
        <v>0</v>
      </c>
      <c r="W242">
        <v>9993</v>
      </c>
      <c r="X242">
        <v>0</v>
      </c>
      <c r="Y242">
        <v>7.0000000000000007E-2</v>
      </c>
      <c r="Z242">
        <v>0</v>
      </c>
      <c r="AB242">
        <v>120400000</v>
      </c>
      <c r="AC242">
        <v>120315720</v>
      </c>
      <c r="AD242">
        <v>120400000</v>
      </c>
      <c r="AE242">
        <v>120315720</v>
      </c>
      <c r="AG242">
        <v>100</v>
      </c>
      <c r="AH242">
        <v>99.93</v>
      </c>
      <c r="AI242">
        <v>1</v>
      </c>
      <c r="AJ242">
        <v>1.0006999999999999</v>
      </c>
      <c r="AK242">
        <v>0.48199999999999998</v>
      </c>
      <c r="AL242">
        <v>12.03</v>
      </c>
      <c r="AM242">
        <v>12032</v>
      </c>
      <c r="AN242">
        <v>1.2854000000000001</v>
      </c>
      <c r="AO242">
        <v>30</v>
      </c>
      <c r="AP242">
        <v>21.87</v>
      </c>
      <c r="AQ242">
        <v>0.72</v>
      </c>
      <c r="AR242">
        <v>-6.1</v>
      </c>
      <c r="AS242">
        <v>1.93</v>
      </c>
      <c r="AT242">
        <v>24.31</v>
      </c>
      <c r="AU242">
        <v>6666.69</v>
      </c>
      <c r="AV242">
        <v>35.81</v>
      </c>
      <c r="AW242">
        <v>16.46</v>
      </c>
      <c r="AX242">
        <v>8.93</v>
      </c>
      <c r="AY242">
        <v>15.702522</v>
      </c>
      <c r="AZ242">
        <v>71.099406000000002</v>
      </c>
      <c r="BA242">
        <v>-16.442117</v>
      </c>
      <c r="BB242">
        <v>-3.4502030000000001</v>
      </c>
      <c r="BC242">
        <v>16.442117</v>
      </c>
      <c r="BD242">
        <v>38.171788999999997</v>
      </c>
      <c r="BE242">
        <v>156.68209300000001</v>
      </c>
      <c r="BF242">
        <v>-8.7990860000000009</v>
      </c>
      <c r="BG242">
        <v>3.6471879999999999</v>
      </c>
      <c r="BH242">
        <v>8.7990860000000009</v>
      </c>
    </row>
    <row r="243" spans="1:60" x14ac:dyDescent="0.25">
      <c r="A243" t="s">
        <v>533</v>
      </c>
      <c r="B243" t="s">
        <v>534</v>
      </c>
      <c r="C243">
        <v>18</v>
      </c>
      <c r="D243" t="s">
        <v>499</v>
      </c>
      <c r="E243" cm="1">
        <f t="array" ref="E243">_xlfn.SWITCH(D243,"QPSK",0.1,"16QAM",0.25,"64QAM",0.5,"256QAM",0.8,"1024QAM",1,"")</f>
        <v>0.1</v>
      </c>
      <c r="F243" cm="1">
        <f t="array" ref="F243">_xlfn.SWITCH(D243,"QPSK",0.05,"16QAM",0.15,"64QAM",0.4,"256QAM",0.75,"1024QAM",1,"")</f>
        <v>0.05</v>
      </c>
      <c r="G243" t="s">
        <v>61</v>
      </c>
      <c r="H243">
        <v>4</v>
      </c>
      <c r="I243" t="s">
        <v>62</v>
      </c>
      <c r="J243">
        <v>2</v>
      </c>
      <c r="K243">
        <v>2</v>
      </c>
      <c r="L243" t="s">
        <v>63</v>
      </c>
      <c r="M243">
        <v>2</v>
      </c>
      <c r="N243">
        <v>0.47849999999999998</v>
      </c>
      <c r="O243">
        <v>0.4824</v>
      </c>
      <c r="P243">
        <v>10000</v>
      </c>
      <c r="Q243">
        <v>9991</v>
      </c>
      <c r="R243">
        <v>9</v>
      </c>
      <c r="S243">
        <v>1</v>
      </c>
      <c r="T243">
        <v>0</v>
      </c>
      <c r="W243">
        <v>9991</v>
      </c>
      <c r="X243">
        <v>0</v>
      </c>
      <c r="Y243">
        <v>0.09</v>
      </c>
      <c r="Z243">
        <v>0</v>
      </c>
      <c r="AB243">
        <v>120400000</v>
      </c>
      <c r="AC243">
        <v>120291640</v>
      </c>
      <c r="AD243">
        <v>120400000</v>
      </c>
      <c r="AE243">
        <v>120291640</v>
      </c>
      <c r="AG243">
        <v>100</v>
      </c>
      <c r="AH243">
        <v>99.91</v>
      </c>
      <c r="AI243">
        <v>1</v>
      </c>
      <c r="AJ243">
        <v>1.000901</v>
      </c>
      <c r="AK243">
        <v>0.4819</v>
      </c>
      <c r="AL243">
        <v>12.03</v>
      </c>
      <c r="AM243">
        <v>12029</v>
      </c>
      <c r="AN243">
        <v>1.2851999999999999</v>
      </c>
      <c r="AO243">
        <v>30</v>
      </c>
      <c r="AP243">
        <v>21.87</v>
      </c>
      <c r="AQ243">
        <v>0.72</v>
      </c>
      <c r="AR243">
        <v>-6.1</v>
      </c>
      <c r="AS243">
        <v>1.93</v>
      </c>
      <c r="AT243">
        <v>24.53</v>
      </c>
      <c r="AU243">
        <v>6666.69</v>
      </c>
      <c r="AV243">
        <v>35.81</v>
      </c>
      <c r="AW243">
        <v>16.46</v>
      </c>
      <c r="AX243">
        <v>8.93</v>
      </c>
      <c r="AY243">
        <v>15.700367</v>
      </c>
      <c r="AZ243">
        <v>71.007760000000005</v>
      </c>
      <c r="BA243">
        <v>-16.444137000000001</v>
      </c>
      <c r="BB243">
        <v>-3.4605079999999999</v>
      </c>
      <c r="BC243">
        <v>16.444137000000001</v>
      </c>
      <c r="BD243">
        <v>38.169677</v>
      </c>
      <c r="BE243">
        <v>156.39768599999999</v>
      </c>
      <c r="BF243">
        <v>-8.8005759999999995</v>
      </c>
      <c r="BG243">
        <v>3.6345329999999998</v>
      </c>
      <c r="BH243">
        <v>8.8005759999999995</v>
      </c>
    </row>
    <row r="244" spans="1:60" x14ac:dyDescent="0.25">
      <c r="A244" t="s">
        <v>535</v>
      </c>
      <c r="B244" t="s">
        <v>536</v>
      </c>
      <c r="C244">
        <v>18</v>
      </c>
      <c r="D244" t="s">
        <v>499</v>
      </c>
      <c r="E244" cm="1">
        <f t="array" ref="E244">_xlfn.SWITCH(D244,"QPSK",0.1,"16QAM",0.25,"64QAM",0.5,"256QAM",0.8,"1024QAM",1,"")</f>
        <v>0.1</v>
      </c>
      <c r="F244" cm="1">
        <f t="array" ref="F244">_xlfn.SWITCH(D244,"QPSK",0.05,"16QAM",0.15,"64QAM",0.4,"256QAM",0.75,"1024QAM",1,"")</f>
        <v>0.05</v>
      </c>
      <c r="G244" t="s">
        <v>61</v>
      </c>
      <c r="H244">
        <v>8</v>
      </c>
      <c r="I244" t="s">
        <v>62</v>
      </c>
      <c r="J244">
        <v>2</v>
      </c>
      <c r="K244">
        <v>2</v>
      </c>
      <c r="L244" t="s">
        <v>63</v>
      </c>
      <c r="M244">
        <v>2</v>
      </c>
      <c r="N244">
        <v>0.47849999999999998</v>
      </c>
      <c r="O244">
        <v>0.4824</v>
      </c>
      <c r="P244">
        <v>10000</v>
      </c>
      <c r="Q244">
        <v>9988</v>
      </c>
      <c r="R244">
        <v>12</v>
      </c>
      <c r="S244">
        <v>1</v>
      </c>
      <c r="T244">
        <v>0</v>
      </c>
      <c r="W244">
        <v>9988</v>
      </c>
      <c r="X244">
        <v>0</v>
      </c>
      <c r="Y244">
        <v>0.12</v>
      </c>
      <c r="Z244">
        <v>0</v>
      </c>
      <c r="AB244">
        <v>120400000</v>
      </c>
      <c r="AC244">
        <v>120255520</v>
      </c>
      <c r="AD244">
        <v>120400000</v>
      </c>
      <c r="AE244">
        <v>120255520</v>
      </c>
      <c r="AG244">
        <v>100</v>
      </c>
      <c r="AH244">
        <v>99.88</v>
      </c>
      <c r="AI244">
        <v>1</v>
      </c>
      <c r="AJ244">
        <v>1.001201</v>
      </c>
      <c r="AK244">
        <v>0.48180000000000001</v>
      </c>
      <c r="AL244">
        <v>12.03</v>
      </c>
      <c r="AM244">
        <v>12026</v>
      </c>
      <c r="AN244">
        <v>1.2847999999999999</v>
      </c>
      <c r="AO244">
        <v>30</v>
      </c>
      <c r="AP244">
        <v>21.87</v>
      </c>
      <c r="AQ244">
        <v>0.72</v>
      </c>
      <c r="AR244">
        <v>-6.1</v>
      </c>
      <c r="AS244">
        <v>1.93</v>
      </c>
      <c r="AT244">
        <v>24.35</v>
      </c>
      <c r="AU244">
        <v>6666.69</v>
      </c>
      <c r="AV244">
        <v>35.81</v>
      </c>
      <c r="AW244">
        <v>16.46</v>
      </c>
      <c r="AX244">
        <v>8.93</v>
      </c>
      <c r="AY244">
        <v>15.700433</v>
      </c>
      <c r="AZ244">
        <v>71.025819999999996</v>
      </c>
      <c r="BA244">
        <v>-16.443856</v>
      </c>
      <c r="BB244">
        <v>-3.4583430000000002</v>
      </c>
      <c r="BC244">
        <v>16.443856</v>
      </c>
      <c r="BD244">
        <v>38.173900000000003</v>
      </c>
      <c r="BE244">
        <v>156.65290899999999</v>
      </c>
      <c r="BF244">
        <v>-8.7998589999999997</v>
      </c>
      <c r="BG244">
        <v>3.6506769999999999</v>
      </c>
      <c r="BH244">
        <v>8.7998589999999997</v>
      </c>
    </row>
    <row r="245" spans="1:60" x14ac:dyDescent="0.25">
      <c r="A245" t="s">
        <v>537</v>
      </c>
      <c r="B245" t="s">
        <v>161</v>
      </c>
      <c r="C245">
        <v>2</v>
      </c>
      <c r="D245" t="s">
        <v>499</v>
      </c>
      <c r="E245" cm="1">
        <f t="array" ref="E245">_xlfn.SWITCH(D245,"QPSK",0.1,"16QAM",0.25,"64QAM",0.5,"256QAM",0.8,"1024QAM",1,"")</f>
        <v>0.1</v>
      </c>
      <c r="F245" cm="1">
        <f t="array" ref="F245">_xlfn.SWITCH(D245,"QPSK",0.05,"16QAM",0.15,"64QAM",0.4,"256QAM",0.75,"1024QAM",1,"")</f>
        <v>0.05</v>
      </c>
      <c r="G245" t="s">
        <v>61</v>
      </c>
      <c r="H245">
        <v>1</v>
      </c>
      <c r="I245" t="s">
        <v>62</v>
      </c>
      <c r="J245">
        <v>2</v>
      </c>
      <c r="K245">
        <v>2</v>
      </c>
      <c r="L245" t="s">
        <v>63</v>
      </c>
      <c r="M245">
        <v>2</v>
      </c>
      <c r="N245">
        <v>0.47849999999999998</v>
      </c>
      <c r="O245">
        <v>0.4824</v>
      </c>
      <c r="P245">
        <v>10000</v>
      </c>
      <c r="Q245">
        <v>4859</v>
      </c>
      <c r="R245">
        <v>5141</v>
      </c>
      <c r="S245">
        <v>2.06</v>
      </c>
      <c r="T245">
        <v>1.06</v>
      </c>
      <c r="W245">
        <v>4769</v>
      </c>
      <c r="X245">
        <v>0</v>
      </c>
      <c r="Y245">
        <v>52.31</v>
      </c>
      <c r="Z245">
        <v>1.85</v>
      </c>
      <c r="AB245">
        <v>120400000</v>
      </c>
      <c r="AC245">
        <v>57418760</v>
      </c>
      <c r="AD245">
        <v>120400000</v>
      </c>
      <c r="AE245">
        <v>57418760</v>
      </c>
      <c r="AG245">
        <v>98.15</v>
      </c>
      <c r="AH245">
        <v>47.69</v>
      </c>
      <c r="AI245">
        <v>1</v>
      </c>
      <c r="AJ245">
        <v>2.0580370000000001</v>
      </c>
      <c r="AK245">
        <v>0.23</v>
      </c>
      <c r="AL245">
        <v>5.74</v>
      </c>
      <c r="AM245">
        <v>5742</v>
      </c>
      <c r="AN245">
        <v>0.61339999999999995</v>
      </c>
      <c r="AO245">
        <v>30</v>
      </c>
      <c r="AP245">
        <v>21.87</v>
      </c>
      <c r="AQ245">
        <v>0.72</v>
      </c>
      <c r="AR245">
        <v>-5.96</v>
      </c>
      <c r="AS245">
        <v>1.86</v>
      </c>
      <c r="AT245">
        <v>12.65</v>
      </c>
      <c r="AU245">
        <v>6666.69</v>
      </c>
      <c r="AV245">
        <v>35.81</v>
      </c>
      <c r="AW245">
        <v>6.09</v>
      </c>
      <c r="AX245">
        <v>3.37</v>
      </c>
      <c r="AY245">
        <v>51.259863000000003</v>
      </c>
      <c r="AZ245">
        <v>149.579251</v>
      </c>
      <c r="BA245">
        <v>-5.8595639999999998</v>
      </c>
      <c r="BB245">
        <v>3.384693</v>
      </c>
      <c r="BC245">
        <v>5.8595639999999998</v>
      </c>
      <c r="BD245">
        <v>64.881191999999999</v>
      </c>
      <c r="BE245">
        <v>243.63083700000001</v>
      </c>
      <c r="BF245">
        <v>-3.7737509999999999</v>
      </c>
      <c r="BG245">
        <v>7.5434580000000002</v>
      </c>
      <c r="BH245">
        <v>3.7737509999999999</v>
      </c>
    </row>
    <row r="246" spans="1:60" x14ac:dyDescent="0.25">
      <c r="A246" t="s">
        <v>538</v>
      </c>
      <c r="B246" t="s">
        <v>539</v>
      </c>
      <c r="C246">
        <v>2</v>
      </c>
      <c r="D246" t="s">
        <v>499</v>
      </c>
      <c r="E246" cm="1">
        <f t="array" ref="E246">_xlfn.SWITCH(D246,"QPSK",0.1,"16QAM",0.25,"64QAM",0.5,"256QAM",0.8,"1024QAM",1,"")</f>
        <v>0.1</v>
      </c>
      <c r="F246" cm="1">
        <f t="array" ref="F246">_xlfn.SWITCH(D246,"QPSK",0.05,"16QAM",0.15,"64QAM",0.4,"256QAM",0.75,"1024QAM",1,"")</f>
        <v>0.05</v>
      </c>
      <c r="G246" t="s">
        <v>61</v>
      </c>
      <c r="H246">
        <v>4</v>
      </c>
      <c r="I246" t="s">
        <v>62</v>
      </c>
      <c r="J246">
        <v>2</v>
      </c>
      <c r="K246">
        <v>2</v>
      </c>
      <c r="L246" t="s">
        <v>63</v>
      </c>
      <c r="M246">
        <v>2</v>
      </c>
      <c r="N246">
        <v>0.47849999999999998</v>
      </c>
      <c r="O246">
        <v>0.4824</v>
      </c>
      <c r="P246">
        <v>10000</v>
      </c>
      <c r="Q246">
        <v>4834</v>
      </c>
      <c r="R246">
        <v>5166</v>
      </c>
      <c r="S246">
        <v>2.0699999999999998</v>
      </c>
      <c r="T246">
        <v>1.07</v>
      </c>
      <c r="W246">
        <v>4753</v>
      </c>
      <c r="X246">
        <v>0</v>
      </c>
      <c r="Y246">
        <v>52.47</v>
      </c>
      <c r="Z246">
        <v>1.68</v>
      </c>
      <c r="AB246">
        <v>120400000</v>
      </c>
      <c r="AC246">
        <v>57226120</v>
      </c>
      <c r="AD246">
        <v>120400000</v>
      </c>
      <c r="AE246">
        <v>57226120</v>
      </c>
      <c r="AG246">
        <v>98.32</v>
      </c>
      <c r="AH246">
        <v>47.53</v>
      </c>
      <c r="AI246">
        <v>1</v>
      </c>
      <c r="AJ246">
        <v>2.0686800000000001</v>
      </c>
      <c r="AK246">
        <v>0.2293</v>
      </c>
      <c r="AL246">
        <v>5.72</v>
      </c>
      <c r="AM246">
        <v>5723</v>
      </c>
      <c r="AN246">
        <v>0.61140000000000005</v>
      </c>
      <c r="AO246">
        <v>30</v>
      </c>
      <c r="AP246">
        <v>21.87</v>
      </c>
      <c r="AQ246">
        <v>0.72</v>
      </c>
      <c r="AR246">
        <v>-5.96</v>
      </c>
      <c r="AS246">
        <v>1.86</v>
      </c>
      <c r="AT246">
        <v>12.59</v>
      </c>
      <c r="AU246">
        <v>6666.69</v>
      </c>
      <c r="AV246">
        <v>35.81</v>
      </c>
      <c r="AW246">
        <v>6.09</v>
      </c>
      <c r="AX246">
        <v>3.37</v>
      </c>
      <c r="AY246">
        <v>51.265712999999998</v>
      </c>
      <c r="AZ246">
        <v>149.48856000000001</v>
      </c>
      <c r="BA246">
        <v>-5.8585589999999996</v>
      </c>
      <c r="BB246">
        <v>3.3811270000000002</v>
      </c>
      <c r="BC246">
        <v>5.8585589999999996</v>
      </c>
      <c r="BD246">
        <v>64.881968000000001</v>
      </c>
      <c r="BE246">
        <v>243.61936299999999</v>
      </c>
      <c r="BF246">
        <v>-3.7735889999999999</v>
      </c>
      <c r="BG246">
        <v>7.5447550000000003</v>
      </c>
      <c r="BH246">
        <v>3.7735889999999999</v>
      </c>
    </row>
    <row r="247" spans="1:60" x14ac:dyDescent="0.25">
      <c r="A247" t="s">
        <v>540</v>
      </c>
      <c r="B247" t="s">
        <v>541</v>
      </c>
      <c r="C247">
        <v>2</v>
      </c>
      <c r="D247" t="s">
        <v>499</v>
      </c>
      <c r="E247" cm="1">
        <f t="array" ref="E247">_xlfn.SWITCH(D247,"QPSK",0.1,"16QAM",0.25,"64QAM",0.5,"256QAM",0.8,"1024QAM",1,"")</f>
        <v>0.1</v>
      </c>
      <c r="F247" cm="1">
        <f t="array" ref="F247">_xlfn.SWITCH(D247,"QPSK",0.05,"16QAM",0.15,"64QAM",0.4,"256QAM",0.75,"1024QAM",1,"")</f>
        <v>0.05</v>
      </c>
      <c r="G247" t="s">
        <v>61</v>
      </c>
      <c r="H247">
        <v>8</v>
      </c>
      <c r="I247" t="s">
        <v>62</v>
      </c>
      <c r="J247">
        <v>2</v>
      </c>
      <c r="K247">
        <v>2</v>
      </c>
      <c r="L247" t="s">
        <v>63</v>
      </c>
      <c r="M247">
        <v>2</v>
      </c>
      <c r="N247">
        <v>0.47849999999999998</v>
      </c>
      <c r="O247">
        <v>0.4824</v>
      </c>
      <c r="P247">
        <v>10000</v>
      </c>
      <c r="Q247">
        <v>4823</v>
      </c>
      <c r="R247">
        <v>5177</v>
      </c>
      <c r="S247">
        <v>2.0699999999999998</v>
      </c>
      <c r="T247">
        <v>1.07</v>
      </c>
      <c r="W247">
        <v>4758</v>
      </c>
      <c r="X247">
        <v>0</v>
      </c>
      <c r="Y247">
        <v>52.42</v>
      </c>
      <c r="Z247">
        <v>1.35</v>
      </c>
      <c r="AB247">
        <v>120400000</v>
      </c>
      <c r="AC247">
        <v>57286320</v>
      </c>
      <c r="AD247">
        <v>120400000</v>
      </c>
      <c r="AE247">
        <v>57286320</v>
      </c>
      <c r="AG247">
        <v>98.65</v>
      </c>
      <c r="AH247">
        <v>47.58</v>
      </c>
      <c r="AI247">
        <v>1</v>
      </c>
      <c r="AJ247">
        <v>2.0733980000000001</v>
      </c>
      <c r="AK247">
        <v>0.22950000000000001</v>
      </c>
      <c r="AL247">
        <v>5.73</v>
      </c>
      <c r="AM247">
        <v>5729</v>
      </c>
      <c r="AN247">
        <v>0.61199999999999999</v>
      </c>
      <c r="AO247">
        <v>30</v>
      </c>
      <c r="AP247">
        <v>21.87</v>
      </c>
      <c r="AQ247">
        <v>0.72</v>
      </c>
      <c r="AR247">
        <v>-5.96</v>
      </c>
      <c r="AS247">
        <v>1.86</v>
      </c>
      <c r="AT247">
        <v>12.61</v>
      </c>
      <c r="AU247">
        <v>6666.69</v>
      </c>
      <c r="AV247">
        <v>35.81</v>
      </c>
      <c r="AW247">
        <v>6.09</v>
      </c>
      <c r="AX247">
        <v>3.37</v>
      </c>
      <c r="AY247">
        <v>51.259770000000003</v>
      </c>
      <c r="AZ247">
        <v>149.25117700000001</v>
      </c>
      <c r="BA247">
        <v>-5.8595360000000003</v>
      </c>
      <c r="BB247">
        <v>3.369122</v>
      </c>
      <c r="BC247">
        <v>5.8595360000000003</v>
      </c>
      <c r="BD247">
        <v>64.879350000000002</v>
      </c>
      <c r="BE247">
        <v>243.27510899999999</v>
      </c>
      <c r="BF247">
        <v>-3.7737599999999998</v>
      </c>
      <c r="BG247">
        <v>7.5326769999999996</v>
      </c>
      <c r="BH247">
        <v>3.7737599999999998</v>
      </c>
    </row>
    <row r="248" spans="1:60" x14ac:dyDescent="0.25">
      <c r="A248" t="s">
        <v>542</v>
      </c>
      <c r="B248" t="s">
        <v>161</v>
      </c>
      <c r="C248">
        <v>20</v>
      </c>
      <c r="D248" t="s">
        <v>499</v>
      </c>
      <c r="E248" cm="1">
        <f t="array" ref="E248">_xlfn.SWITCH(D248,"QPSK",0.1,"16QAM",0.25,"64QAM",0.5,"256QAM",0.8,"1024QAM",1,"")</f>
        <v>0.1</v>
      </c>
      <c r="F248" cm="1">
        <f t="array" ref="F248">_xlfn.SWITCH(D248,"QPSK",0.05,"16QAM",0.15,"64QAM",0.4,"256QAM",0.75,"1024QAM",1,"")</f>
        <v>0.05</v>
      </c>
      <c r="G248" t="s">
        <v>61</v>
      </c>
      <c r="H248">
        <v>1</v>
      </c>
      <c r="I248" t="s">
        <v>62</v>
      </c>
      <c r="J248">
        <v>2</v>
      </c>
      <c r="K248">
        <v>2</v>
      </c>
      <c r="L248" t="s">
        <v>63</v>
      </c>
      <c r="M248">
        <v>2</v>
      </c>
      <c r="N248">
        <v>0.47849999999999998</v>
      </c>
      <c r="O248">
        <v>0.4824</v>
      </c>
      <c r="P248">
        <v>10000</v>
      </c>
      <c r="Q248">
        <v>9996</v>
      </c>
      <c r="R248">
        <v>4</v>
      </c>
      <c r="S248">
        <v>1</v>
      </c>
      <c r="T248">
        <v>0</v>
      </c>
      <c r="W248">
        <v>9996</v>
      </c>
      <c r="X248">
        <v>0</v>
      </c>
      <c r="Y248">
        <v>0.04</v>
      </c>
      <c r="Z248">
        <v>0</v>
      </c>
      <c r="AB248">
        <v>120400000</v>
      </c>
      <c r="AC248">
        <v>120351840</v>
      </c>
      <c r="AD248">
        <v>120400000</v>
      </c>
      <c r="AE248">
        <v>120351840</v>
      </c>
      <c r="AG248">
        <v>100</v>
      </c>
      <c r="AH248">
        <v>99.96</v>
      </c>
      <c r="AI248">
        <v>1</v>
      </c>
      <c r="AJ248">
        <v>1.0004</v>
      </c>
      <c r="AK248">
        <v>0.48220000000000002</v>
      </c>
      <c r="AL248">
        <v>12.04</v>
      </c>
      <c r="AM248">
        <v>12035</v>
      </c>
      <c r="AN248">
        <v>1.2858000000000001</v>
      </c>
      <c r="AO248">
        <v>30</v>
      </c>
      <c r="AP248">
        <v>21.87</v>
      </c>
      <c r="AQ248">
        <v>0.72</v>
      </c>
      <c r="AR248">
        <v>-6.11</v>
      </c>
      <c r="AS248">
        <v>1.94</v>
      </c>
      <c r="AT248">
        <v>25.9</v>
      </c>
      <c r="AU248">
        <v>6666.69</v>
      </c>
      <c r="AV248">
        <v>35.81</v>
      </c>
      <c r="AW248">
        <v>18</v>
      </c>
      <c r="AX248">
        <v>10.1</v>
      </c>
      <c r="AY248">
        <v>13.192214999999999</v>
      </c>
      <c r="AZ248">
        <v>62.089488000000003</v>
      </c>
      <c r="BA248">
        <v>-17.989308999999999</v>
      </c>
      <c r="BB248">
        <v>-4.6485810000000001</v>
      </c>
      <c r="BC248">
        <v>17.989308999999999</v>
      </c>
      <c r="BD248">
        <v>33.601542000000002</v>
      </c>
      <c r="BE248">
        <v>147.55963199999999</v>
      </c>
      <c r="BF248">
        <v>-10.008505</v>
      </c>
      <c r="BG248">
        <v>3.0556049999999999</v>
      </c>
      <c r="BH248">
        <v>10.008505</v>
      </c>
    </row>
    <row r="249" spans="1:60" x14ac:dyDescent="0.25">
      <c r="A249" t="s">
        <v>543</v>
      </c>
      <c r="B249" t="s">
        <v>544</v>
      </c>
      <c r="C249">
        <v>20</v>
      </c>
      <c r="D249" t="s">
        <v>499</v>
      </c>
      <c r="E249" cm="1">
        <f t="array" ref="E249">_xlfn.SWITCH(D249,"QPSK",0.1,"16QAM",0.25,"64QAM",0.5,"256QAM",0.8,"1024QAM",1,"")</f>
        <v>0.1</v>
      </c>
      <c r="F249" cm="1">
        <f t="array" ref="F249">_xlfn.SWITCH(D249,"QPSK",0.05,"16QAM",0.15,"64QAM",0.4,"256QAM",0.75,"1024QAM",1,"")</f>
        <v>0.05</v>
      </c>
      <c r="G249" t="s">
        <v>61</v>
      </c>
      <c r="H249">
        <v>4</v>
      </c>
      <c r="I249" t="s">
        <v>62</v>
      </c>
      <c r="J249">
        <v>2</v>
      </c>
      <c r="K249">
        <v>2</v>
      </c>
      <c r="L249" t="s">
        <v>63</v>
      </c>
      <c r="M249">
        <v>2</v>
      </c>
      <c r="N249">
        <v>0.47849999999999998</v>
      </c>
      <c r="O249">
        <v>0.4824</v>
      </c>
      <c r="P249">
        <v>10000</v>
      </c>
      <c r="Q249">
        <v>9996</v>
      </c>
      <c r="R249">
        <v>4</v>
      </c>
      <c r="S249">
        <v>1</v>
      </c>
      <c r="T249">
        <v>0</v>
      </c>
      <c r="W249">
        <v>9996</v>
      </c>
      <c r="X249">
        <v>0</v>
      </c>
      <c r="Y249">
        <v>0.04</v>
      </c>
      <c r="Z249">
        <v>0</v>
      </c>
      <c r="AB249">
        <v>120400000</v>
      </c>
      <c r="AC249">
        <v>120351840</v>
      </c>
      <c r="AD249">
        <v>120400000</v>
      </c>
      <c r="AE249">
        <v>120351840</v>
      </c>
      <c r="AG249">
        <v>100</v>
      </c>
      <c r="AH249">
        <v>99.96</v>
      </c>
      <c r="AI249">
        <v>1</v>
      </c>
      <c r="AJ249">
        <v>1.0004</v>
      </c>
      <c r="AK249">
        <v>0.48220000000000002</v>
      </c>
      <c r="AL249">
        <v>12.04</v>
      </c>
      <c r="AM249">
        <v>12035</v>
      </c>
      <c r="AN249">
        <v>1.2858000000000001</v>
      </c>
      <c r="AO249">
        <v>30</v>
      </c>
      <c r="AP249">
        <v>21.87</v>
      </c>
      <c r="AQ249">
        <v>0.72</v>
      </c>
      <c r="AR249">
        <v>-6.11</v>
      </c>
      <c r="AS249">
        <v>1.94</v>
      </c>
      <c r="AT249">
        <v>25.63</v>
      </c>
      <c r="AU249">
        <v>6666.69</v>
      </c>
      <c r="AV249">
        <v>35.81</v>
      </c>
      <c r="AW249">
        <v>18</v>
      </c>
      <c r="AX249">
        <v>10.1</v>
      </c>
      <c r="AY249">
        <v>13.191777</v>
      </c>
      <c r="AZ249">
        <v>62.223239999999997</v>
      </c>
      <c r="BA249">
        <v>-17.989494000000001</v>
      </c>
      <c r="BB249">
        <v>-4.6425960000000002</v>
      </c>
      <c r="BC249">
        <v>17.989494000000001</v>
      </c>
      <c r="BD249">
        <v>33.603324999999998</v>
      </c>
      <c r="BE249">
        <v>147.376552</v>
      </c>
      <c r="BF249">
        <v>-10.007422999999999</v>
      </c>
      <c r="BG249">
        <v>3.0420940000000001</v>
      </c>
      <c r="BH249">
        <v>10.007422999999999</v>
      </c>
    </row>
    <row r="250" spans="1:60" x14ac:dyDescent="0.25">
      <c r="A250" t="s">
        <v>545</v>
      </c>
      <c r="B250" t="s">
        <v>546</v>
      </c>
      <c r="C250">
        <v>20</v>
      </c>
      <c r="D250" t="s">
        <v>499</v>
      </c>
      <c r="E250" cm="1">
        <f t="array" ref="E250">_xlfn.SWITCH(D250,"QPSK",0.1,"16QAM",0.25,"64QAM",0.5,"256QAM",0.8,"1024QAM",1,"")</f>
        <v>0.1</v>
      </c>
      <c r="F250" cm="1">
        <f t="array" ref="F250">_xlfn.SWITCH(D250,"QPSK",0.05,"16QAM",0.15,"64QAM",0.4,"256QAM",0.75,"1024QAM",1,"")</f>
        <v>0.05</v>
      </c>
      <c r="G250" t="s">
        <v>61</v>
      </c>
      <c r="H250">
        <v>8</v>
      </c>
      <c r="I250" t="s">
        <v>62</v>
      </c>
      <c r="J250">
        <v>2</v>
      </c>
      <c r="K250">
        <v>2</v>
      </c>
      <c r="L250" t="s">
        <v>63</v>
      </c>
      <c r="M250">
        <v>2</v>
      </c>
      <c r="N250">
        <v>0.47849999999999998</v>
      </c>
      <c r="O250">
        <v>0.4824</v>
      </c>
      <c r="P250">
        <v>10000</v>
      </c>
      <c r="Q250">
        <v>9992</v>
      </c>
      <c r="R250">
        <v>8</v>
      </c>
      <c r="S250">
        <v>1</v>
      </c>
      <c r="T250">
        <v>0</v>
      </c>
      <c r="W250">
        <v>9992</v>
      </c>
      <c r="X250">
        <v>0</v>
      </c>
      <c r="Y250">
        <v>0.08</v>
      </c>
      <c r="Z250">
        <v>0</v>
      </c>
      <c r="AB250">
        <v>120400000</v>
      </c>
      <c r="AC250">
        <v>120303680</v>
      </c>
      <c r="AD250">
        <v>120400000</v>
      </c>
      <c r="AE250">
        <v>120303680</v>
      </c>
      <c r="AG250">
        <v>100</v>
      </c>
      <c r="AH250">
        <v>99.92</v>
      </c>
      <c r="AI250">
        <v>1</v>
      </c>
      <c r="AJ250">
        <v>1.0008010000000001</v>
      </c>
      <c r="AK250">
        <v>0.48199999999999998</v>
      </c>
      <c r="AL250">
        <v>12.03</v>
      </c>
      <c r="AM250">
        <v>12030</v>
      </c>
      <c r="AN250">
        <v>1.2853000000000001</v>
      </c>
      <c r="AO250">
        <v>30</v>
      </c>
      <c r="AP250">
        <v>21.87</v>
      </c>
      <c r="AQ250">
        <v>0.72</v>
      </c>
      <c r="AR250">
        <v>-6.11</v>
      </c>
      <c r="AS250">
        <v>1.94</v>
      </c>
      <c r="AT250">
        <v>25.76</v>
      </c>
      <c r="AU250">
        <v>6666.69</v>
      </c>
      <c r="AV250">
        <v>35.81</v>
      </c>
      <c r="AW250">
        <v>17.989999999999998</v>
      </c>
      <c r="AX250">
        <v>10.1</v>
      </c>
      <c r="AY250">
        <v>13.200812000000001</v>
      </c>
      <c r="AZ250">
        <v>62.306609999999999</v>
      </c>
      <c r="BA250">
        <v>-17.983872999999999</v>
      </c>
      <c r="BB250">
        <v>-4.6269349999999996</v>
      </c>
      <c r="BC250">
        <v>17.983872999999999</v>
      </c>
      <c r="BD250">
        <v>33.613937999999997</v>
      </c>
      <c r="BE250">
        <v>147.89743799999999</v>
      </c>
      <c r="BF250">
        <v>-10.00413</v>
      </c>
      <c r="BG250">
        <v>3.0761370000000001</v>
      </c>
      <c r="BH250">
        <v>10.00413</v>
      </c>
    </row>
    <row r="251" spans="1:60" x14ac:dyDescent="0.25">
      <c r="A251" t="s">
        <v>547</v>
      </c>
      <c r="B251" t="s">
        <v>548</v>
      </c>
      <c r="C251">
        <v>22</v>
      </c>
      <c r="D251" t="s">
        <v>499</v>
      </c>
      <c r="E251" cm="1">
        <f t="array" ref="E251">_xlfn.SWITCH(D251,"QPSK",0.1,"16QAM",0.25,"64QAM",0.5,"256QAM",0.8,"1024QAM",1,"")</f>
        <v>0.1</v>
      </c>
      <c r="F251" cm="1">
        <f t="array" ref="F251">_xlfn.SWITCH(D251,"QPSK",0.05,"16QAM",0.15,"64QAM",0.4,"256QAM",0.75,"1024QAM",1,"")</f>
        <v>0.05</v>
      </c>
      <c r="G251" t="s">
        <v>61</v>
      </c>
      <c r="H251">
        <v>1</v>
      </c>
      <c r="I251" t="s">
        <v>62</v>
      </c>
      <c r="J251">
        <v>2</v>
      </c>
      <c r="K251">
        <v>2</v>
      </c>
      <c r="L251" t="s">
        <v>63</v>
      </c>
      <c r="M251">
        <v>2</v>
      </c>
      <c r="N251">
        <v>0.47849999999999998</v>
      </c>
      <c r="O251">
        <v>0.4824</v>
      </c>
      <c r="P251">
        <v>10000</v>
      </c>
      <c r="Q251">
        <v>9997</v>
      </c>
      <c r="R251">
        <v>3</v>
      </c>
      <c r="S251">
        <v>1</v>
      </c>
      <c r="T251">
        <v>0</v>
      </c>
      <c r="W251">
        <v>9997</v>
      </c>
      <c r="X251">
        <v>0</v>
      </c>
      <c r="Y251">
        <v>0.03</v>
      </c>
      <c r="Z251">
        <v>0</v>
      </c>
      <c r="AB251">
        <v>120400000</v>
      </c>
      <c r="AC251">
        <v>120363880</v>
      </c>
      <c r="AD251">
        <v>120400000</v>
      </c>
      <c r="AE251">
        <v>120363880</v>
      </c>
      <c r="AG251">
        <v>100</v>
      </c>
      <c r="AH251">
        <v>99.97</v>
      </c>
      <c r="AI251">
        <v>1</v>
      </c>
      <c r="AJ251">
        <v>1.0003</v>
      </c>
      <c r="AK251">
        <v>0.48220000000000002</v>
      </c>
      <c r="AL251">
        <v>12.04</v>
      </c>
      <c r="AM251">
        <v>12036</v>
      </c>
      <c r="AN251">
        <v>1.2859</v>
      </c>
      <c r="AO251">
        <v>30</v>
      </c>
      <c r="AP251">
        <v>21.87</v>
      </c>
      <c r="AQ251">
        <v>0.72</v>
      </c>
      <c r="AR251">
        <v>-6.12</v>
      </c>
      <c r="AS251">
        <v>1.94</v>
      </c>
      <c r="AT251">
        <v>28.02</v>
      </c>
      <c r="AU251">
        <v>6666.69</v>
      </c>
      <c r="AV251">
        <v>35.81</v>
      </c>
      <c r="AW251">
        <v>19.48</v>
      </c>
      <c r="AX251">
        <v>11.31</v>
      </c>
      <c r="AY251">
        <v>11.152127999999999</v>
      </c>
      <c r="AZ251">
        <v>54.839112999999998</v>
      </c>
      <c r="BA251">
        <v>-19.479467</v>
      </c>
      <c r="BB251">
        <v>-5.7804190000000002</v>
      </c>
      <c r="BC251">
        <v>19.479467</v>
      </c>
      <c r="BD251">
        <v>29.432531999999998</v>
      </c>
      <c r="BE251">
        <v>139.66237100000001</v>
      </c>
      <c r="BF251">
        <v>-11.239134</v>
      </c>
      <c r="BG251">
        <v>2.4894959999999999</v>
      </c>
      <c r="BH251">
        <v>11.239134</v>
      </c>
    </row>
    <row r="252" spans="1:60" x14ac:dyDescent="0.25">
      <c r="A252" t="s">
        <v>549</v>
      </c>
      <c r="B252" t="s">
        <v>550</v>
      </c>
      <c r="C252">
        <v>22</v>
      </c>
      <c r="D252" t="s">
        <v>499</v>
      </c>
      <c r="E252" cm="1">
        <f t="array" ref="E252">_xlfn.SWITCH(D252,"QPSK",0.1,"16QAM",0.25,"64QAM",0.5,"256QAM",0.8,"1024QAM",1,"")</f>
        <v>0.1</v>
      </c>
      <c r="F252" cm="1">
        <f t="array" ref="F252">_xlfn.SWITCH(D252,"QPSK",0.05,"16QAM",0.15,"64QAM",0.4,"256QAM",0.75,"1024QAM",1,"")</f>
        <v>0.05</v>
      </c>
      <c r="G252" t="s">
        <v>61</v>
      </c>
      <c r="H252">
        <v>4</v>
      </c>
      <c r="I252" t="s">
        <v>62</v>
      </c>
      <c r="J252">
        <v>2</v>
      </c>
      <c r="K252">
        <v>2</v>
      </c>
      <c r="L252" t="s">
        <v>63</v>
      </c>
      <c r="M252">
        <v>2</v>
      </c>
      <c r="N252">
        <v>0.47849999999999998</v>
      </c>
      <c r="O252">
        <v>0.4824</v>
      </c>
      <c r="P252">
        <v>10000</v>
      </c>
      <c r="Q252">
        <v>9996</v>
      </c>
      <c r="R252">
        <v>4</v>
      </c>
      <c r="S252">
        <v>1</v>
      </c>
      <c r="T252">
        <v>0</v>
      </c>
      <c r="W252">
        <v>9996</v>
      </c>
      <c r="X252">
        <v>0</v>
      </c>
      <c r="Y252">
        <v>0.04</v>
      </c>
      <c r="Z252">
        <v>0</v>
      </c>
      <c r="AB252">
        <v>120400000</v>
      </c>
      <c r="AC252">
        <v>120351840</v>
      </c>
      <c r="AD252">
        <v>120400000</v>
      </c>
      <c r="AE252">
        <v>120351840</v>
      </c>
      <c r="AG252">
        <v>100</v>
      </c>
      <c r="AH252">
        <v>99.96</v>
      </c>
      <c r="AI252">
        <v>1</v>
      </c>
      <c r="AJ252">
        <v>1.0004</v>
      </c>
      <c r="AK252">
        <v>0.48220000000000002</v>
      </c>
      <c r="AL252">
        <v>12.04</v>
      </c>
      <c r="AM252">
        <v>12035</v>
      </c>
      <c r="AN252">
        <v>1.2858000000000001</v>
      </c>
      <c r="AO252">
        <v>30</v>
      </c>
      <c r="AP252">
        <v>21.87</v>
      </c>
      <c r="AQ252">
        <v>0.72</v>
      </c>
      <c r="AR252">
        <v>-6.12</v>
      </c>
      <c r="AS252">
        <v>1.94</v>
      </c>
      <c r="AT252">
        <v>27.98</v>
      </c>
      <c r="AU252">
        <v>6666.69</v>
      </c>
      <c r="AV252">
        <v>35.81</v>
      </c>
      <c r="AW252">
        <v>19.489999999999998</v>
      </c>
      <c r="AX252">
        <v>11.31</v>
      </c>
      <c r="AY252">
        <v>11.1417</v>
      </c>
      <c r="AZ252">
        <v>54.897275</v>
      </c>
      <c r="BA252">
        <v>-19.486723000000001</v>
      </c>
      <c r="BB252">
        <v>-5.7738560000000003</v>
      </c>
      <c r="BC252">
        <v>19.486723000000001</v>
      </c>
      <c r="BD252">
        <v>29.428923000000001</v>
      </c>
      <c r="BE252">
        <v>139.84953300000001</v>
      </c>
      <c r="BF252">
        <v>-11.239863</v>
      </c>
      <c r="BG252">
        <v>2.502929</v>
      </c>
      <c r="BH252">
        <v>11.239863</v>
      </c>
    </row>
    <row r="253" spans="1:60" x14ac:dyDescent="0.25">
      <c r="A253" t="s">
        <v>551</v>
      </c>
      <c r="B253" t="s">
        <v>552</v>
      </c>
      <c r="C253">
        <v>22</v>
      </c>
      <c r="D253" t="s">
        <v>499</v>
      </c>
      <c r="E253" cm="1">
        <f t="array" ref="E253">_xlfn.SWITCH(D253,"QPSK",0.1,"16QAM",0.25,"64QAM",0.5,"256QAM",0.8,"1024QAM",1,"")</f>
        <v>0.1</v>
      </c>
      <c r="F253" cm="1">
        <f t="array" ref="F253">_xlfn.SWITCH(D253,"QPSK",0.05,"16QAM",0.15,"64QAM",0.4,"256QAM",0.75,"1024QAM",1,"")</f>
        <v>0.05</v>
      </c>
      <c r="G253" t="s">
        <v>61</v>
      </c>
      <c r="H253">
        <v>8</v>
      </c>
      <c r="I253" t="s">
        <v>62</v>
      </c>
      <c r="J253">
        <v>2</v>
      </c>
      <c r="K253">
        <v>2</v>
      </c>
      <c r="L253" t="s">
        <v>63</v>
      </c>
      <c r="M253">
        <v>2</v>
      </c>
      <c r="N253">
        <v>0.47849999999999998</v>
      </c>
      <c r="O253">
        <v>0.4824</v>
      </c>
      <c r="P253">
        <v>10000</v>
      </c>
      <c r="Q253">
        <v>9994</v>
      </c>
      <c r="R253">
        <v>6</v>
      </c>
      <c r="S253">
        <v>1</v>
      </c>
      <c r="T253">
        <v>0</v>
      </c>
      <c r="W253">
        <v>9994</v>
      </c>
      <c r="X253">
        <v>0</v>
      </c>
      <c r="Y253">
        <v>0.06</v>
      </c>
      <c r="Z253">
        <v>0</v>
      </c>
      <c r="AB253">
        <v>120400000</v>
      </c>
      <c r="AC253">
        <v>120327760</v>
      </c>
      <c r="AD253">
        <v>120400000</v>
      </c>
      <c r="AE253">
        <v>120327760</v>
      </c>
      <c r="AG253">
        <v>100</v>
      </c>
      <c r="AH253">
        <v>99.94</v>
      </c>
      <c r="AI253">
        <v>1</v>
      </c>
      <c r="AJ253">
        <v>1.0005999999999999</v>
      </c>
      <c r="AK253">
        <v>0.48209999999999997</v>
      </c>
      <c r="AL253">
        <v>12.03</v>
      </c>
      <c r="AM253">
        <v>12033</v>
      </c>
      <c r="AN253">
        <v>1.2856000000000001</v>
      </c>
      <c r="AO253">
        <v>30</v>
      </c>
      <c r="AP253">
        <v>21.87</v>
      </c>
      <c r="AQ253">
        <v>0.72</v>
      </c>
      <c r="AR253">
        <v>-6.12</v>
      </c>
      <c r="AS253">
        <v>1.94</v>
      </c>
      <c r="AT253">
        <v>27.87</v>
      </c>
      <c r="AU253">
        <v>6666.69</v>
      </c>
      <c r="AV253">
        <v>35.81</v>
      </c>
      <c r="AW253">
        <v>19.489999999999998</v>
      </c>
      <c r="AX253">
        <v>11.3</v>
      </c>
      <c r="AY253">
        <v>11.145569</v>
      </c>
      <c r="AZ253">
        <v>54.883167</v>
      </c>
      <c r="BA253">
        <v>-19.483785999999998</v>
      </c>
      <c r="BB253">
        <v>-5.7756489999999996</v>
      </c>
      <c r="BC253">
        <v>19.483785999999998</v>
      </c>
      <c r="BD253">
        <v>29.433091999999998</v>
      </c>
      <c r="BE253">
        <v>139.87790699999999</v>
      </c>
      <c r="BF253">
        <v>-11.237932000000001</v>
      </c>
      <c r="BG253">
        <v>2.5003519999999999</v>
      </c>
      <c r="BH253">
        <v>11.237932000000001</v>
      </c>
    </row>
    <row r="254" spans="1:60" x14ac:dyDescent="0.25">
      <c r="A254" t="s">
        <v>553</v>
      </c>
      <c r="B254" t="s">
        <v>161</v>
      </c>
      <c r="C254">
        <v>24</v>
      </c>
      <c r="D254" t="s">
        <v>499</v>
      </c>
      <c r="E254" cm="1">
        <f t="array" ref="E254">_xlfn.SWITCH(D254,"QPSK",0.1,"16QAM",0.25,"64QAM",0.5,"256QAM",0.8,"1024QAM",1,"")</f>
        <v>0.1</v>
      </c>
      <c r="F254" cm="1">
        <f t="array" ref="F254">_xlfn.SWITCH(D254,"QPSK",0.05,"16QAM",0.15,"64QAM",0.4,"256QAM",0.75,"1024QAM",1,"")</f>
        <v>0.05</v>
      </c>
      <c r="G254" t="s">
        <v>61</v>
      </c>
      <c r="H254">
        <v>1</v>
      </c>
      <c r="I254" t="s">
        <v>62</v>
      </c>
      <c r="J254">
        <v>2</v>
      </c>
      <c r="K254">
        <v>2</v>
      </c>
      <c r="L254" t="s">
        <v>63</v>
      </c>
      <c r="M254">
        <v>2</v>
      </c>
      <c r="N254">
        <v>0.47849999999999998</v>
      </c>
      <c r="O254">
        <v>0.4824</v>
      </c>
      <c r="P254">
        <v>10000</v>
      </c>
      <c r="Q254">
        <v>9999</v>
      </c>
      <c r="R254">
        <v>1</v>
      </c>
      <c r="S254">
        <v>1</v>
      </c>
      <c r="T254">
        <v>0</v>
      </c>
      <c r="W254">
        <v>9999</v>
      </c>
      <c r="X254">
        <v>0</v>
      </c>
      <c r="Y254">
        <v>0.01</v>
      </c>
      <c r="Z254">
        <v>0</v>
      </c>
      <c r="AB254">
        <v>120400000</v>
      </c>
      <c r="AC254">
        <v>120387960</v>
      </c>
      <c r="AD254">
        <v>120400000</v>
      </c>
      <c r="AE254">
        <v>120387960</v>
      </c>
      <c r="AG254">
        <v>100</v>
      </c>
      <c r="AH254">
        <v>99.99</v>
      </c>
      <c r="AI254">
        <v>1</v>
      </c>
      <c r="AJ254">
        <v>1.0001</v>
      </c>
      <c r="AK254">
        <v>0.48230000000000001</v>
      </c>
      <c r="AL254">
        <v>12.04</v>
      </c>
      <c r="AM254">
        <v>12039</v>
      </c>
      <c r="AN254">
        <v>1.2862</v>
      </c>
      <c r="AO254">
        <v>30</v>
      </c>
      <c r="AP254">
        <v>21.87</v>
      </c>
      <c r="AQ254">
        <v>0.72</v>
      </c>
      <c r="AR254">
        <v>-6.13</v>
      </c>
      <c r="AS254">
        <v>1.94</v>
      </c>
      <c r="AT254">
        <v>31.11</v>
      </c>
      <c r="AU254">
        <v>6666.69</v>
      </c>
      <c r="AV254">
        <v>35.81</v>
      </c>
      <c r="AW254">
        <v>20.95</v>
      </c>
      <c r="AX254">
        <v>12.52</v>
      </c>
      <c r="AY254">
        <v>9.4452400000000001</v>
      </c>
      <c r="AZ254">
        <v>48.890695999999998</v>
      </c>
      <c r="BA254">
        <v>-20.952915000000001</v>
      </c>
      <c r="BB254">
        <v>-6.8769960000000001</v>
      </c>
      <c r="BC254">
        <v>20.952915000000001</v>
      </c>
      <c r="BD254">
        <v>25.663989999999998</v>
      </c>
      <c r="BE254">
        <v>131.19336200000001</v>
      </c>
      <c r="BF254">
        <v>-12.480403000000001</v>
      </c>
      <c r="BG254">
        <v>1.851847</v>
      </c>
      <c r="BH254">
        <v>12.480403000000001</v>
      </c>
    </row>
    <row r="255" spans="1:60" x14ac:dyDescent="0.25">
      <c r="A255" t="s">
        <v>554</v>
      </c>
      <c r="B255" t="s">
        <v>555</v>
      </c>
      <c r="C255">
        <v>24</v>
      </c>
      <c r="D255" t="s">
        <v>499</v>
      </c>
      <c r="E255" cm="1">
        <f t="array" ref="E255">_xlfn.SWITCH(D255,"QPSK",0.1,"16QAM",0.25,"64QAM",0.5,"256QAM",0.8,"1024QAM",1,"")</f>
        <v>0.1</v>
      </c>
      <c r="F255" cm="1">
        <f t="array" ref="F255">_xlfn.SWITCH(D255,"QPSK",0.05,"16QAM",0.15,"64QAM",0.4,"256QAM",0.75,"1024QAM",1,"")</f>
        <v>0.05</v>
      </c>
      <c r="G255" t="s">
        <v>61</v>
      </c>
      <c r="H255">
        <v>4</v>
      </c>
      <c r="I255" t="s">
        <v>62</v>
      </c>
      <c r="J255">
        <v>2</v>
      </c>
      <c r="K255">
        <v>2</v>
      </c>
      <c r="L255" t="s">
        <v>63</v>
      </c>
      <c r="M255">
        <v>2</v>
      </c>
      <c r="N255">
        <v>0.47849999999999998</v>
      </c>
      <c r="O255">
        <v>0.4824</v>
      </c>
      <c r="P255">
        <v>10000</v>
      </c>
      <c r="Q255">
        <v>9997</v>
      </c>
      <c r="R255">
        <v>3</v>
      </c>
      <c r="S255">
        <v>1</v>
      </c>
      <c r="T255">
        <v>0</v>
      </c>
      <c r="W255">
        <v>9997</v>
      </c>
      <c r="X255">
        <v>0</v>
      </c>
      <c r="Y255">
        <v>0.03</v>
      </c>
      <c r="Z255">
        <v>0</v>
      </c>
      <c r="AB255">
        <v>120400000</v>
      </c>
      <c r="AC255">
        <v>120363880</v>
      </c>
      <c r="AD255">
        <v>120400000</v>
      </c>
      <c r="AE255">
        <v>120363880</v>
      </c>
      <c r="AG255">
        <v>100</v>
      </c>
      <c r="AH255">
        <v>99.97</v>
      </c>
      <c r="AI255">
        <v>1</v>
      </c>
      <c r="AJ255">
        <v>1.0003</v>
      </c>
      <c r="AK255">
        <v>0.48220000000000002</v>
      </c>
      <c r="AL255">
        <v>12.04</v>
      </c>
      <c r="AM255">
        <v>12036</v>
      </c>
      <c r="AN255">
        <v>1.2859</v>
      </c>
      <c r="AO255">
        <v>30</v>
      </c>
      <c r="AP255">
        <v>21.87</v>
      </c>
      <c r="AQ255">
        <v>0.72</v>
      </c>
      <c r="AR255">
        <v>-6.13</v>
      </c>
      <c r="AS255">
        <v>1.94</v>
      </c>
      <c r="AT255">
        <v>31.42</v>
      </c>
      <c r="AU255">
        <v>6666.69</v>
      </c>
      <c r="AV255">
        <v>35.81</v>
      </c>
      <c r="AW255">
        <v>20.96</v>
      </c>
      <c r="AX255">
        <v>12.52</v>
      </c>
      <c r="AY255">
        <v>9.4440810000000006</v>
      </c>
      <c r="AZ255">
        <v>48.820414999999997</v>
      </c>
      <c r="BA255">
        <v>-20.954412999999999</v>
      </c>
      <c r="BB255">
        <v>-6.8814229999999998</v>
      </c>
      <c r="BC255">
        <v>20.954412999999999</v>
      </c>
      <c r="BD255">
        <v>25.673337</v>
      </c>
      <c r="BE255">
        <v>131.49014500000001</v>
      </c>
      <c r="BF255">
        <v>-12.477501</v>
      </c>
      <c r="BG255">
        <v>1.8701110000000001</v>
      </c>
      <c r="BH255">
        <v>12.477501</v>
      </c>
    </row>
    <row r="256" spans="1:60" x14ac:dyDescent="0.25">
      <c r="A256" t="s">
        <v>556</v>
      </c>
      <c r="B256" t="s">
        <v>557</v>
      </c>
      <c r="C256">
        <v>24</v>
      </c>
      <c r="D256" t="s">
        <v>499</v>
      </c>
      <c r="E256" cm="1">
        <f t="array" ref="E256">_xlfn.SWITCH(D256,"QPSK",0.1,"16QAM",0.25,"64QAM",0.5,"256QAM",0.8,"1024QAM",1,"")</f>
        <v>0.1</v>
      </c>
      <c r="F256" cm="1">
        <f t="array" ref="F256">_xlfn.SWITCH(D256,"QPSK",0.05,"16QAM",0.15,"64QAM",0.4,"256QAM",0.75,"1024QAM",1,"")</f>
        <v>0.05</v>
      </c>
      <c r="G256" t="s">
        <v>61</v>
      </c>
      <c r="H256">
        <v>8</v>
      </c>
      <c r="I256" t="s">
        <v>62</v>
      </c>
      <c r="J256">
        <v>2</v>
      </c>
      <c r="K256">
        <v>2</v>
      </c>
      <c r="L256" t="s">
        <v>63</v>
      </c>
      <c r="M256">
        <v>2</v>
      </c>
      <c r="N256">
        <v>0.47849999999999998</v>
      </c>
      <c r="O256">
        <v>0.4824</v>
      </c>
      <c r="P256">
        <v>10000</v>
      </c>
      <c r="Q256">
        <v>9997</v>
      </c>
      <c r="R256">
        <v>3</v>
      </c>
      <c r="S256">
        <v>1</v>
      </c>
      <c r="T256">
        <v>0</v>
      </c>
      <c r="W256">
        <v>9997</v>
      </c>
      <c r="X256">
        <v>0</v>
      </c>
      <c r="Y256">
        <v>0.03</v>
      </c>
      <c r="Z256">
        <v>0</v>
      </c>
      <c r="AB256">
        <v>120400000</v>
      </c>
      <c r="AC256">
        <v>120363880</v>
      </c>
      <c r="AD256">
        <v>120400000</v>
      </c>
      <c r="AE256">
        <v>120363880</v>
      </c>
      <c r="AG256">
        <v>100</v>
      </c>
      <c r="AH256">
        <v>99.97</v>
      </c>
      <c r="AI256">
        <v>1</v>
      </c>
      <c r="AJ256">
        <v>1.0003</v>
      </c>
      <c r="AK256">
        <v>0.48220000000000002</v>
      </c>
      <c r="AL256">
        <v>12.04</v>
      </c>
      <c r="AM256">
        <v>12036</v>
      </c>
      <c r="AN256">
        <v>1.2859</v>
      </c>
      <c r="AO256">
        <v>30</v>
      </c>
      <c r="AP256">
        <v>21.87</v>
      </c>
      <c r="AQ256">
        <v>0.72</v>
      </c>
      <c r="AR256">
        <v>-6.13</v>
      </c>
      <c r="AS256">
        <v>1.94</v>
      </c>
      <c r="AT256">
        <v>31.61</v>
      </c>
      <c r="AU256">
        <v>6666.69</v>
      </c>
      <c r="AV256">
        <v>35.81</v>
      </c>
      <c r="AW256">
        <v>20.95</v>
      </c>
      <c r="AX256">
        <v>12.52</v>
      </c>
      <c r="AY256">
        <v>9.4444309999999998</v>
      </c>
      <c r="AZ256">
        <v>48.922089</v>
      </c>
      <c r="BA256">
        <v>-20.953766000000002</v>
      </c>
      <c r="BB256">
        <v>-6.871988</v>
      </c>
      <c r="BC256">
        <v>20.953766000000002</v>
      </c>
      <c r="BD256">
        <v>25.668551999999998</v>
      </c>
      <c r="BE256">
        <v>131.30240499999999</v>
      </c>
      <c r="BF256">
        <v>-12.477748</v>
      </c>
      <c r="BG256">
        <v>1.8613310000000001</v>
      </c>
      <c r="BH256">
        <v>12.477748</v>
      </c>
    </row>
    <row r="257" spans="1:60" x14ac:dyDescent="0.25">
      <c r="A257" t="s">
        <v>558</v>
      </c>
      <c r="B257" t="s">
        <v>559</v>
      </c>
      <c r="C257">
        <v>4</v>
      </c>
      <c r="D257" t="s">
        <v>499</v>
      </c>
      <c r="E257" cm="1">
        <f t="array" ref="E257">_xlfn.SWITCH(D257,"QPSK",0.1,"16QAM",0.25,"64QAM",0.5,"256QAM",0.8,"1024QAM",1,"")</f>
        <v>0.1</v>
      </c>
      <c r="F257" cm="1">
        <f t="array" ref="F257">_xlfn.SWITCH(D257,"QPSK",0.05,"16QAM",0.15,"64QAM",0.4,"256QAM",0.75,"1024QAM",1,"")</f>
        <v>0.05</v>
      </c>
      <c r="G257" t="s">
        <v>61</v>
      </c>
      <c r="H257">
        <v>1</v>
      </c>
      <c r="I257" t="s">
        <v>62</v>
      </c>
      <c r="J257">
        <v>2</v>
      </c>
      <c r="K257">
        <v>2</v>
      </c>
      <c r="L257" t="s">
        <v>63</v>
      </c>
      <c r="M257">
        <v>2</v>
      </c>
      <c r="N257">
        <v>0.47849999999999998</v>
      </c>
      <c r="O257">
        <v>0.4824</v>
      </c>
      <c r="P257">
        <v>10000</v>
      </c>
      <c r="Q257">
        <v>6231</v>
      </c>
      <c r="R257">
        <v>3769</v>
      </c>
      <c r="S257">
        <v>1.6</v>
      </c>
      <c r="T257">
        <v>0.6</v>
      </c>
      <c r="W257">
        <v>6225</v>
      </c>
      <c r="X257">
        <v>0</v>
      </c>
      <c r="Y257">
        <v>37.75</v>
      </c>
      <c r="Z257">
        <v>0.1</v>
      </c>
      <c r="AB257">
        <v>120400000</v>
      </c>
      <c r="AC257">
        <v>74949000</v>
      </c>
      <c r="AD257">
        <v>120400000</v>
      </c>
      <c r="AE257">
        <v>74949000</v>
      </c>
      <c r="AG257">
        <v>99.9</v>
      </c>
      <c r="AH257">
        <v>62.25</v>
      </c>
      <c r="AI257">
        <v>1</v>
      </c>
      <c r="AJ257">
        <v>1.6048789999999999</v>
      </c>
      <c r="AK257">
        <v>0.30030000000000001</v>
      </c>
      <c r="AL257">
        <v>7.49</v>
      </c>
      <c r="AM257">
        <v>7495</v>
      </c>
      <c r="AN257">
        <v>0.80069999999999997</v>
      </c>
      <c r="AO257">
        <v>30</v>
      </c>
      <c r="AP257">
        <v>21.87</v>
      </c>
      <c r="AQ257">
        <v>0.72</v>
      </c>
      <c r="AR257">
        <v>-6.03</v>
      </c>
      <c r="AS257">
        <v>1.9</v>
      </c>
      <c r="AT257">
        <v>15.56</v>
      </c>
      <c r="AU257">
        <v>6666.69</v>
      </c>
      <c r="AV257">
        <v>35.81</v>
      </c>
      <c r="AW257">
        <v>7.11</v>
      </c>
      <c r="AX257">
        <v>3.83</v>
      </c>
      <c r="AY257">
        <v>45.720224999999999</v>
      </c>
      <c r="AZ257">
        <v>131.44858199999999</v>
      </c>
      <c r="BA257">
        <v>-6.8927930000000002</v>
      </c>
      <c r="BB257">
        <v>2.244777</v>
      </c>
      <c r="BC257">
        <v>6.8927930000000002</v>
      </c>
      <c r="BD257">
        <v>63.187949000000003</v>
      </c>
      <c r="BE257">
        <v>224.68711500000001</v>
      </c>
      <c r="BF257">
        <v>-4.0154949999999996</v>
      </c>
      <c r="BG257">
        <v>6.8155000000000001</v>
      </c>
      <c r="BH257">
        <v>4.0154949999999996</v>
      </c>
    </row>
    <row r="258" spans="1:60" x14ac:dyDescent="0.25">
      <c r="A258" t="s">
        <v>560</v>
      </c>
      <c r="B258" t="s">
        <v>561</v>
      </c>
      <c r="C258">
        <v>4</v>
      </c>
      <c r="D258" t="s">
        <v>499</v>
      </c>
      <c r="E258" cm="1">
        <f t="array" ref="E258">_xlfn.SWITCH(D258,"QPSK",0.1,"16QAM",0.25,"64QAM",0.5,"256QAM",0.8,"1024QAM",1,"")</f>
        <v>0.1</v>
      </c>
      <c r="F258" cm="1">
        <f t="array" ref="F258">_xlfn.SWITCH(D258,"QPSK",0.05,"16QAM",0.15,"64QAM",0.4,"256QAM",0.75,"1024QAM",1,"")</f>
        <v>0.05</v>
      </c>
      <c r="G258" t="s">
        <v>61</v>
      </c>
      <c r="H258">
        <v>4</v>
      </c>
      <c r="I258" t="s">
        <v>62</v>
      </c>
      <c r="J258">
        <v>2</v>
      </c>
      <c r="K258">
        <v>2</v>
      </c>
      <c r="L258" t="s">
        <v>63</v>
      </c>
      <c r="M258">
        <v>2</v>
      </c>
      <c r="N258">
        <v>0.47849999999999998</v>
      </c>
      <c r="O258">
        <v>0.4824</v>
      </c>
      <c r="P258">
        <v>10000</v>
      </c>
      <c r="Q258">
        <v>6207</v>
      </c>
      <c r="R258">
        <v>3793</v>
      </c>
      <c r="S258">
        <v>1.61</v>
      </c>
      <c r="T258">
        <v>0.61</v>
      </c>
      <c r="W258">
        <v>6198</v>
      </c>
      <c r="X258">
        <v>0</v>
      </c>
      <c r="Y258">
        <v>38.020000000000003</v>
      </c>
      <c r="Z258">
        <v>0.14000000000000001</v>
      </c>
      <c r="AB258">
        <v>120400000</v>
      </c>
      <c r="AC258">
        <v>74623920</v>
      </c>
      <c r="AD258">
        <v>120400000</v>
      </c>
      <c r="AE258">
        <v>74623920</v>
      </c>
      <c r="AG258">
        <v>99.86</v>
      </c>
      <c r="AH258">
        <v>61.98</v>
      </c>
      <c r="AI258">
        <v>1</v>
      </c>
      <c r="AJ258">
        <v>1.611084</v>
      </c>
      <c r="AK258">
        <v>0.29899999999999999</v>
      </c>
      <c r="AL258">
        <v>7.46</v>
      </c>
      <c r="AM258">
        <v>7462</v>
      </c>
      <c r="AN258">
        <v>0.79730000000000001</v>
      </c>
      <c r="AO258">
        <v>30</v>
      </c>
      <c r="AP258">
        <v>21.87</v>
      </c>
      <c r="AQ258">
        <v>0.72</v>
      </c>
      <c r="AR258">
        <v>-6.03</v>
      </c>
      <c r="AS258">
        <v>1.9</v>
      </c>
      <c r="AT258">
        <v>15.55</v>
      </c>
      <c r="AU258">
        <v>6666.69</v>
      </c>
      <c r="AV258">
        <v>35.81</v>
      </c>
      <c r="AW258">
        <v>7.11</v>
      </c>
      <c r="AX258">
        <v>3.83</v>
      </c>
      <c r="AY258">
        <v>45.718947999999997</v>
      </c>
      <c r="AZ258">
        <v>131.53473700000001</v>
      </c>
      <c r="BA258">
        <v>-6.8931740000000001</v>
      </c>
      <c r="BB258">
        <v>2.2500520000000002</v>
      </c>
      <c r="BC258">
        <v>6.8931740000000001</v>
      </c>
      <c r="BD258">
        <v>63.216608999999998</v>
      </c>
      <c r="BE258">
        <v>224.47466299999999</v>
      </c>
      <c r="BF258">
        <v>-4.0117229999999999</v>
      </c>
      <c r="BG258">
        <v>6.8084319999999998</v>
      </c>
      <c r="BH258">
        <v>4.0117229999999999</v>
      </c>
    </row>
    <row r="259" spans="1:60" x14ac:dyDescent="0.25">
      <c r="A259" t="s">
        <v>562</v>
      </c>
      <c r="B259" t="s">
        <v>563</v>
      </c>
      <c r="C259">
        <v>4</v>
      </c>
      <c r="D259" t="s">
        <v>499</v>
      </c>
      <c r="E259" cm="1">
        <f t="array" ref="E259">_xlfn.SWITCH(D259,"QPSK",0.1,"16QAM",0.25,"64QAM",0.5,"256QAM",0.8,"1024QAM",1,"")</f>
        <v>0.1</v>
      </c>
      <c r="F259" cm="1">
        <f t="array" ref="F259">_xlfn.SWITCH(D259,"QPSK",0.05,"16QAM",0.15,"64QAM",0.4,"256QAM",0.75,"1024QAM",1,"")</f>
        <v>0.05</v>
      </c>
      <c r="G259" t="s">
        <v>61</v>
      </c>
      <c r="H259">
        <v>8</v>
      </c>
      <c r="I259" t="s">
        <v>62</v>
      </c>
      <c r="J259">
        <v>2</v>
      </c>
      <c r="K259">
        <v>2</v>
      </c>
      <c r="L259" t="s">
        <v>63</v>
      </c>
      <c r="M259">
        <v>2</v>
      </c>
      <c r="N259">
        <v>0.47849999999999998</v>
      </c>
      <c r="O259">
        <v>0.4824</v>
      </c>
      <c r="P259">
        <v>10000</v>
      </c>
      <c r="Q259">
        <v>6184</v>
      </c>
      <c r="R259">
        <v>3816</v>
      </c>
      <c r="S259">
        <v>1.62</v>
      </c>
      <c r="T259">
        <v>0.62</v>
      </c>
      <c r="W259">
        <v>6175</v>
      </c>
      <c r="X259">
        <v>0</v>
      </c>
      <c r="Y259">
        <v>38.25</v>
      </c>
      <c r="Z259">
        <v>0.15</v>
      </c>
      <c r="AB259">
        <v>120400000</v>
      </c>
      <c r="AC259">
        <v>74347000</v>
      </c>
      <c r="AD259">
        <v>120400000</v>
      </c>
      <c r="AE259">
        <v>74347000</v>
      </c>
      <c r="AG259">
        <v>99.85</v>
      </c>
      <c r="AH259">
        <v>61.75</v>
      </c>
      <c r="AI259">
        <v>1</v>
      </c>
      <c r="AJ259">
        <v>1.617076</v>
      </c>
      <c r="AK259">
        <v>0.2979</v>
      </c>
      <c r="AL259">
        <v>7.43</v>
      </c>
      <c r="AM259">
        <v>7435</v>
      </c>
      <c r="AN259">
        <v>0.79430000000000001</v>
      </c>
      <c r="AO259">
        <v>30</v>
      </c>
      <c r="AP259">
        <v>21.87</v>
      </c>
      <c r="AQ259">
        <v>0.72</v>
      </c>
      <c r="AR259">
        <v>-6.03</v>
      </c>
      <c r="AS259">
        <v>1.9</v>
      </c>
      <c r="AT259">
        <v>15.42</v>
      </c>
      <c r="AU259">
        <v>6666.69</v>
      </c>
      <c r="AV259">
        <v>35.81</v>
      </c>
      <c r="AW259">
        <v>7.11</v>
      </c>
      <c r="AX259">
        <v>3.83</v>
      </c>
      <c r="AY259">
        <v>45.719641000000003</v>
      </c>
      <c r="AZ259">
        <v>131.35993500000001</v>
      </c>
      <c r="BA259">
        <v>-6.8927769999999997</v>
      </c>
      <c r="BB259">
        <v>2.239274</v>
      </c>
      <c r="BC259">
        <v>6.8927769999999997</v>
      </c>
      <c r="BD259">
        <v>63.198129000000002</v>
      </c>
      <c r="BE259">
        <v>223.957494</v>
      </c>
      <c r="BF259">
        <v>-4.0140149999999997</v>
      </c>
      <c r="BG259">
        <v>6.7899330000000004</v>
      </c>
      <c r="BH259">
        <v>4.0140149999999997</v>
      </c>
    </row>
    <row r="260" spans="1:60" x14ac:dyDescent="0.25">
      <c r="A260" t="s">
        <v>564</v>
      </c>
      <c r="B260" t="s">
        <v>161</v>
      </c>
      <c r="C260">
        <v>6</v>
      </c>
      <c r="D260" t="s">
        <v>499</v>
      </c>
      <c r="E260" cm="1">
        <f t="array" ref="E260">_xlfn.SWITCH(D260,"QPSK",0.1,"16QAM",0.25,"64QAM",0.5,"256QAM",0.8,"1024QAM",1,"")</f>
        <v>0.1</v>
      </c>
      <c r="F260" cm="1">
        <f t="array" ref="F260">_xlfn.SWITCH(D260,"QPSK",0.05,"16QAM",0.15,"64QAM",0.4,"256QAM",0.75,"1024QAM",1,"")</f>
        <v>0.05</v>
      </c>
      <c r="G260" t="s">
        <v>61</v>
      </c>
      <c r="H260">
        <v>1</v>
      </c>
      <c r="I260" t="s">
        <v>62</v>
      </c>
      <c r="J260">
        <v>2</v>
      </c>
      <c r="K260">
        <v>2</v>
      </c>
      <c r="L260" t="s">
        <v>63</v>
      </c>
      <c r="M260">
        <v>2</v>
      </c>
      <c r="N260">
        <v>0.47849999999999998</v>
      </c>
      <c r="O260">
        <v>0.4824</v>
      </c>
      <c r="P260">
        <v>10000</v>
      </c>
      <c r="Q260">
        <v>7470</v>
      </c>
      <c r="R260">
        <v>2530</v>
      </c>
      <c r="S260">
        <v>1.34</v>
      </c>
      <c r="T260">
        <v>0.34</v>
      </c>
      <c r="W260">
        <v>7470</v>
      </c>
      <c r="X260">
        <v>0</v>
      </c>
      <c r="Y260">
        <v>25.3</v>
      </c>
      <c r="Z260">
        <v>0</v>
      </c>
      <c r="AB260">
        <v>120400000</v>
      </c>
      <c r="AC260">
        <v>89938800</v>
      </c>
      <c r="AD260">
        <v>120400000</v>
      </c>
      <c r="AE260">
        <v>89938800</v>
      </c>
      <c r="AG260">
        <v>100</v>
      </c>
      <c r="AH260">
        <v>74.7</v>
      </c>
      <c r="AI260">
        <v>1</v>
      </c>
      <c r="AJ260">
        <v>1.3386880000000001</v>
      </c>
      <c r="AK260">
        <v>0.36030000000000001</v>
      </c>
      <c r="AL260">
        <v>8.99</v>
      </c>
      <c r="AM260">
        <v>8994</v>
      </c>
      <c r="AN260">
        <v>0.96089999999999998</v>
      </c>
      <c r="AO260">
        <v>30</v>
      </c>
      <c r="AP260">
        <v>21.87</v>
      </c>
      <c r="AQ260">
        <v>0.72</v>
      </c>
      <c r="AR260">
        <v>-6.07</v>
      </c>
      <c r="AS260">
        <v>1.92</v>
      </c>
      <c r="AT260">
        <v>18.399999999999999</v>
      </c>
      <c r="AU260">
        <v>6666.69</v>
      </c>
      <c r="AV260">
        <v>35.81</v>
      </c>
      <c r="AW260">
        <v>8.32</v>
      </c>
      <c r="AX260">
        <v>4.34</v>
      </c>
      <c r="AY260">
        <v>39.791466</v>
      </c>
      <c r="AZ260">
        <v>115.615478</v>
      </c>
      <c r="BA260">
        <v>-8.1439690000000002</v>
      </c>
      <c r="BB260">
        <v>1.1102069999999999</v>
      </c>
      <c r="BC260">
        <v>8.1439690000000002</v>
      </c>
      <c r="BD260">
        <v>60.926093999999999</v>
      </c>
      <c r="BE260">
        <v>205.927066</v>
      </c>
      <c r="BF260">
        <v>-4.3513469999999996</v>
      </c>
      <c r="BG260">
        <v>6.0433479999999999</v>
      </c>
      <c r="BH260">
        <v>4.3513469999999996</v>
      </c>
    </row>
    <row r="261" spans="1:60" x14ac:dyDescent="0.25">
      <c r="A261" t="s">
        <v>565</v>
      </c>
      <c r="B261" t="s">
        <v>566</v>
      </c>
      <c r="C261">
        <v>6</v>
      </c>
      <c r="D261" t="s">
        <v>499</v>
      </c>
      <c r="E261" cm="1">
        <f t="array" ref="E261">_xlfn.SWITCH(D261,"QPSK",0.1,"16QAM",0.25,"64QAM",0.5,"256QAM",0.8,"1024QAM",1,"")</f>
        <v>0.1</v>
      </c>
      <c r="F261" cm="1">
        <f t="array" ref="F261">_xlfn.SWITCH(D261,"QPSK",0.05,"16QAM",0.15,"64QAM",0.4,"256QAM",0.75,"1024QAM",1,"")</f>
        <v>0.05</v>
      </c>
      <c r="G261" t="s">
        <v>61</v>
      </c>
      <c r="H261">
        <v>4</v>
      </c>
      <c r="I261" t="s">
        <v>62</v>
      </c>
      <c r="J261">
        <v>2</v>
      </c>
      <c r="K261">
        <v>2</v>
      </c>
      <c r="L261" t="s">
        <v>63</v>
      </c>
      <c r="M261">
        <v>2</v>
      </c>
      <c r="N261">
        <v>0.47849999999999998</v>
      </c>
      <c r="O261">
        <v>0.4824</v>
      </c>
      <c r="P261">
        <v>10000</v>
      </c>
      <c r="Q261">
        <v>7436</v>
      </c>
      <c r="R261">
        <v>2564</v>
      </c>
      <c r="S261">
        <v>1.34</v>
      </c>
      <c r="T261">
        <v>0.34</v>
      </c>
      <c r="W261">
        <v>7434</v>
      </c>
      <c r="X261">
        <v>0</v>
      </c>
      <c r="Y261">
        <v>25.66</v>
      </c>
      <c r="Z261">
        <v>0.03</v>
      </c>
      <c r="AB261">
        <v>120400000</v>
      </c>
      <c r="AC261">
        <v>89505360</v>
      </c>
      <c r="AD261">
        <v>120400000</v>
      </c>
      <c r="AE261">
        <v>89505360</v>
      </c>
      <c r="AG261">
        <v>99.97</v>
      </c>
      <c r="AH261">
        <v>74.34</v>
      </c>
      <c r="AI261">
        <v>1</v>
      </c>
      <c r="AJ261">
        <v>1.3448089999999999</v>
      </c>
      <c r="AK261">
        <v>0.35859999999999997</v>
      </c>
      <c r="AL261">
        <v>8.9499999999999993</v>
      </c>
      <c r="AM261">
        <v>8951</v>
      </c>
      <c r="AN261">
        <v>0.95630000000000004</v>
      </c>
      <c r="AO261">
        <v>30</v>
      </c>
      <c r="AP261">
        <v>21.87</v>
      </c>
      <c r="AQ261">
        <v>0.72</v>
      </c>
      <c r="AR261">
        <v>-6.07</v>
      </c>
      <c r="AS261">
        <v>1.93</v>
      </c>
      <c r="AT261">
        <v>18.68</v>
      </c>
      <c r="AU261">
        <v>6666.69</v>
      </c>
      <c r="AV261">
        <v>35.81</v>
      </c>
      <c r="AW261">
        <v>8.32</v>
      </c>
      <c r="AX261">
        <v>4.34</v>
      </c>
      <c r="AY261">
        <v>39.792164999999997</v>
      </c>
      <c r="AZ261">
        <v>115.545725</v>
      </c>
      <c r="BA261">
        <v>-8.1439419999999991</v>
      </c>
      <c r="BB261">
        <v>1.1055619999999999</v>
      </c>
      <c r="BC261">
        <v>8.1439419999999991</v>
      </c>
      <c r="BD261">
        <v>60.930419999999998</v>
      </c>
      <c r="BE261">
        <v>206.172729</v>
      </c>
      <c r="BF261">
        <v>-4.3505760000000002</v>
      </c>
      <c r="BG261">
        <v>6.0515330000000001</v>
      </c>
      <c r="BH261">
        <v>4.3505760000000002</v>
      </c>
    </row>
    <row r="262" spans="1:60" x14ac:dyDescent="0.25">
      <c r="A262" t="s">
        <v>567</v>
      </c>
      <c r="B262" t="s">
        <v>568</v>
      </c>
      <c r="C262">
        <v>6</v>
      </c>
      <c r="D262" t="s">
        <v>499</v>
      </c>
      <c r="E262" cm="1">
        <f t="array" ref="E262">_xlfn.SWITCH(D262,"QPSK",0.1,"16QAM",0.25,"64QAM",0.5,"256QAM",0.8,"1024QAM",1,"")</f>
        <v>0.1</v>
      </c>
      <c r="F262" cm="1">
        <f t="array" ref="F262">_xlfn.SWITCH(D262,"QPSK",0.05,"16QAM",0.15,"64QAM",0.4,"256QAM",0.75,"1024QAM",1,"")</f>
        <v>0.05</v>
      </c>
      <c r="G262" t="s">
        <v>61</v>
      </c>
      <c r="H262">
        <v>8</v>
      </c>
      <c r="I262" t="s">
        <v>62</v>
      </c>
      <c r="J262">
        <v>2</v>
      </c>
      <c r="K262">
        <v>2</v>
      </c>
      <c r="L262" t="s">
        <v>63</v>
      </c>
      <c r="M262">
        <v>2</v>
      </c>
      <c r="N262">
        <v>0.47849999999999998</v>
      </c>
      <c r="O262">
        <v>0.4824</v>
      </c>
      <c r="P262">
        <v>10000</v>
      </c>
      <c r="Q262">
        <v>7387</v>
      </c>
      <c r="R262">
        <v>2613</v>
      </c>
      <c r="S262">
        <v>1.35</v>
      </c>
      <c r="T262">
        <v>0.35</v>
      </c>
      <c r="W262">
        <v>7381</v>
      </c>
      <c r="X262">
        <v>0</v>
      </c>
      <c r="Y262">
        <v>26.19</v>
      </c>
      <c r="Z262">
        <v>0.08</v>
      </c>
      <c r="AB262">
        <v>120400000</v>
      </c>
      <c r="AC262">
        <v>88867240</v>
      </c>
      <c r="AD262">
        <v>120400000</v>
      </c>
      <c r="AE262">
        <v>88867240</v>
      </c>
      <c r="AG262">
        <v>99.92</v>
      </c>
      <c r="AH262">
        <v>73.81</v>
      </c>
      <c r="AI262">
        <v>1</v>
      </c>
      <c r="AJ262">
        <v>1.3537300000000001</v>
      </c>
      <c r="AK262">
        <v>0.35599999999999998</v>
      </c>
      <c r="AL262">
        <v>8.89</v>
      </c>
      <c r="AM262">
        <v>8887</v>
      </c>
      <c r="AN262">
        <v>0.94940000000000002</v>
      </c>
      <c r="AO262">
        <v>30</v>
      </c>
      <c r="AP262">
        <v>21.87</v>
      </c>
      <c r="AQ262">
        <v>0.72</v>
      </c>
      <c r="AR262">
        <v>-6.07</v>
      </c>
      <c r="AS262">
        <v>1.93</v>
      </c>
      <c r="AT262">
        <v>18.53</v>
      </c>
      <c r="AU262">
        <v>6666.69</v>
      </c>
      <c r="AV262">
        <v>35.81</v>
      </c>
      <c r="AW262">
        <v>8.31</v>
      </c>
      <c r="AX262">
        <v>4.34</v>
      </c>
      <c r="AY262">
        <v>39.791640999999998</v>
      </c>
      <c r="AZ262">
        <v>115.58044700000001</v>
      </c>
      <c r="BA262">
        <v>-8.1436550000000008</v>
      </c>
      <c r="BB262">
        <v>1.1098410000000001</v>
      </c>
      <c r="BC262">
        <v>8.1436550000000008</v>
      </c>
      <c r="BD262">
        <v>60.925755000000002</v>
      </c>
      <c r="BE262">
        <v>206.311196</v>
      </c>
      <c r="BF262">
        <v>-4.3513149999999996</v>
      </c>
      <c r="BG262">
        <v>6.0556270000000003</v>
      </c>
      <c r="BH262">
        <v>4.3513149999999996</v>
      </c>
    </row>
    <row r="263" spans="1:60" x14ac:dyDescent="0.25">
      <c r="A263" t="s">
        <v>569</v>
      </c>
      <c r="B263" t="s">
        <v>570</v>
      </c>
      <c r="C263">
        <v>8</v>
      </c>
      <c r="D263" t="s">
        <v>499</v>
      </c>
      <c r="E263" cm="1">
        <f t="array" ref="E263">_xlfn.SWITCH(D263,"QPSK",0.1,"16QAM",0.25,"64QAM",0.5,"256QAM",0.8,"1024QAM",1,"")</f>
        <v>0.1</v>
      </c>
      <c r="F263" cm="1">
        <f t="array" ref="F263">_xlfn.SWITCH(D263,"QPSK",0.05,"16QAM",0.15,"64QAM",0.4,"256QAM",0.75,"1024QAM",1,"")</f>
        <v>0.05</v>
      </c>
      <c r="G263" t="s">
        <v>61</v>
      </c>
      <c r="H263">
        <v>1</v>
      </c>
      <c r="I263" t="s">
        <v>62</v>
      </c>
      <c r="J263">
        <v>2</v>
      </c>
      <c r="K263">
        <v>2</v>
      </c>
      <c r="L263" t="s">
        <v>63</v>
      </c>
      <c r="M263">
        <v>2</v>
      </c>
      <c r="N263">
        <v>0.47849999999999998</v>
      </c>
      <c r="O263">
        <v>0.4824</v>
      </c>
      <c r="P263">
        <v>10000</v>
      </c>
      <c r="Q263">
        <v>8422</v>
      </c>
      <c r="R263">
        <v>1578</v>
      </c>
      <c r="S263">
        <v>1.19</v>
      </c>
      <c r="T263">
        <v>0.19</v>
      </c>
      <c r="W263">
        <v>8421</v>
      </c>
      <c r="X263">
        <v>0</v>
      </c>
      <c r="Y263">
        <v>15.79</v>
      </c>
      <c r="Z263">
        <v>0.01</v>
      </c>
      <c r="AB263">
        <v>120400000</v>
      </c>
      <c r="AC263">
        <v>101388840</v>
      </c>
      <c r="AD263">
        <v>120400000</v>
      </c>
      <c r="AE263">
        <v>101388840</v>
      </c>
      <c r="AG263">
        <v>99.99</v>
      </c>
      <c r="AH263">
        <v>84.21</v>
      </c>
      <c r="AI263">
        <v>1</v>
      </c>
      <c r="AJ263">
        <v>1.1873659999999999</v>
      </c>
      <c r="AK263">
        <v>0.40620000000000001</v>
      </c>
      <c r="AL263">
        <v>10.14</v>
      </c>
      <c r="AM263">
        <v>10139</v>
      </c>
      <c r="AN263">
        <v>1.0831999999999999</v>
      </c>
      <c r="AO263">
        <v>30</v>
      </c>
      <c r="AP263">
        <v>21.87</v>
      </c>
      <c r="AQ263">
        <v>0.72</v>
      </c>
      <c r="AR263">
        <v>-6.07</v>
      </c>
      <c r="AS263">
        <v>1.95</v>
      </c>
      <c r="AT263">
        <v>20.86</v>
      </c>
      <c r="AU263">
        <v>6666.69</v>
      </c>
      <c r="AV263">
        <v>35.81</v>
      </c>
      <c r="AW263">
        <v>9.6</v>
      </c>
      <c r="AX263">
        <v>4.87</v>
      </c>
      <c r="AY263">
        <v>34.291381000000001</v>
      </c>
      <c r="AZ263">
        <v>104.84397199999999</v>
      </c>
      <c r="BA263">
        <v>-9.4736419999999999</v>
      </c>
      <c r="BB263">
        <v>0.204486</v>
      </c>
      <c r="BC263">
        <v>9.4736419999999999</v>
      </c>
      <c r="BD263">
        <v>58.216211000000001</v>
      </c>
      <c r="BE263">
        <v>190.80232100000001</v>
      </c>
      <c r="BF263">
        <v>-4.767334</v>
      </c>
      <c r="BG263">
        <v>5.4068139999999998</v>
      </c>
      <c r="BH263">
        <v>4.767334</v>
      </c>
    </row>
    <row r="264" spans="1:60" x14ac:dyDescent="0.25">
      <c r="A264" t="s">
        <v>571</v>
      </c>
      <c r="B264" t="s">
        <v>572</v>
      </c>
      <c r="C264">
        <v>8</v>
      </c>
      <c r="D264" t="s">
        <v>499</v>
      </c>
      <c r="E264" cm="1">
        <f t="array" ref="E264">_xlfn.SWITCH(D264,"QPSK",0.1,"16QAM",0.25,"64QAM",0.5,"256QAM",0.8,"1024QAM",1,"")</f>
        <v>0.1</v>
      </c>
      <c r="F264" cm="1">
        <f t="array" ref="F264">_xlfn.SWITCH(D264,"QPSK",0.05,"16QAM",0.15,"64QAM",0.4,"256QAM",0.75,"1024QAM",1,"")</f>
        <v>0.05</v>
      </c>
      <c r="G264" t="s">
        <v>61</v>
      </c>
      <c r="H264">
        <v>4</v>
      </c>
      <c r="I264" t="s">
        <v>62</v>
      </c>
      <c r="J264">
        <v>2</v>
      </c>
      <c r="K264">
        <v>2</v>
      </c>
      <c r="L264" t="s">
        <v>63</v>
      </c>
      <c r="M264">
        <v>2</v>
      </c>
      <c r="N264">
        <v>0.47849999999999998</v>
      </c>
      <c r="O264">
        <v>0.4824</v>
      </c>
      <c r="P264">
        <v>10000</v>
      </c>
      <c r="Q264">
        <v>8390</v>
      </c>
      <c r="R264">
        <v>1610</v>
      </c>
      <c r="S264">
        <v>1.19</v>
      </c>
      <c r="T264">
        <v>0.19</v>
      </c>
      <c r="W264">
        <v>8388</v>
      </c>
      <c r="X264">
        <v>0</v>
      </c>
      <c r="Y264">
        <v>16.12</v>
      </c>
      <c r="Z264">
        <v>0.02</v>
      </c>
      <c r="AB264">
        <v>120400000</v>
      </c>
      <c r="AC264">
        <v>100991520</v>
      </c>
      <c r="AD264">
        <v>120400000</v>
      </c>
      <c r="AE264">
        <v>100991520</v>
      </c>
      <c r="AG264">
        <v>99.98</v>
      </c>
      <c r="AH264">
        <v>83.88</v>
      </c>
      <c r="AI264">
        <v>1</v>
      </c>
      <c r="AJ264">
        <v>1.1918949999999999</v>
      </c>
      <c r="AK264">
        <v>0.40460000000000002</v>
      </c>
      <c r="AL264">
        <v>10.1</v>
      </c>
      <c r="AM264">
        <v>10099</v>
      </c>
      <c r="AN264">
        <v>1.079</v>
      </c>
      <c r="AO264">
        <v>30</v>
      </c>
      <c r="AP264">
        <v>21.87</v>
      </c>
      <c r="AQ264">
        <v>0.72</v>
      </c>
      <c r="AR264">
        <v>-6.07</v>
      </c>
      <c r="AS264">
        <v>1.95</v>
      </c>
      <c r="AT264">
        <v>20.77</v>
      </c>
      <c r="AU264">
        <v>6666.69</v>
      </c>
      <c r="AV264">
        <v>35.81</v>
      </c>
      <c r="AW264">
        <v>9.6</v>
      </c>
      <c r="AX264">
        <v>4.88</v>
      </c>
      <c r="AY264">
        <v>34.282421999999997</v>
      </c>
      <c r="AZ264">
        <v>104.92340900000001</v>
      </c>
      <c r="BA264">
        <v>-9.4760159999999996</v>
      </c>
      <c r="BB264">
        <v>0.21262800000000001</v>
      </c>
      <c r="BC264">
        <v>9.4760159999999996</v>
      </c>
      <c r="BD264">
        <v>58.209100999999997</v>
      </c>
      <c r="BE264">
        <v>190.455387</v>
      </c>
      <c r="BF264">
        <v>-4.7683080000000002</v>
      </c>
      <c r="BG264">
        <v>5.3901630000000003</v>
      </c>
      <c r="BH264">
        <v>4.7683080000000002</v>
      </c>
    </row>
    <row r="265" spans="1:60" x14ac:dyDescent="0.25">
      <c r="A265" t="s">
        <v>573</v>
      </c>
      <c r="B265" t="s">
        <v>574</v>
      </c>
      <c r="C265">
        <v>8</v>
      </c>
      <c r="D265" t="s">
        <v>499</v>
      </c>
      <c r="E265" cm="1">
        <f t="array" ref="E265">_xlfn.SWITCH(D265,"QPSK",0.1,"16QAM",0.25,"64QAM",0.5,"256QAM",0.8,"1024QAM",1,"")</f>
        <v>0.1</v>
      </c>
      <c r="F265" cm="1">
        <f t="array" ref="F265">_xlfn.SWITCH(D265,"QPSK",0.05,"16QAM",0.15,"64QAM",0.4,"256QAM",0.75,"1024QAM",1,"")</f>
        <v>0.05</v>
      </c>
      <c r="G265" t="s">
        <v>61</v>
      </c>
      <c r="H265">
        <v>8</v>
      </c>
      <c r="I265" t="s">
        <v>62</v>
      </c>
      <c r="J265">
        <v>2</v>
      </c>
      <c r="K265">
        <v>2</v>
      </c>
      <c r="L265" t="s">
        <v>63</v>
      </c>
      <c r="M265">
        <v>2</v>
      </c>
      <c r="N265">
        <v>0.47849999999999998</v>
      </c>
      <c r="O265">
        <v>0.4824</v>
      </c>
      <c r="P265">
        <v>10000</v>
      </c>
      <c r="Q265">
        <v>8328</v>
      </c>
      <c r="R265">
        <v>1672</v>
      </c>
      <c r="S265">
        <v>1.2</v>
      </c>
      <c r="T265">
        <v>0.2</v>
      </c>
      <c r="W265">
        <v>8322</v>
      </c>
      <c r="X265">
        <v>0</v>
      </c>
      <c r="Y265">
        <v>16.78</v>
      </c>
      <c r="Z265">
        <v>7.0000000000000007E-2</v>
      </c>
      <c r="AB265">
        <v>120400000</v>
      </c>
      <c r="AC265">
        <v>100196880</v>
      </c>
      <c r="AD265">
        <v>120400000</v>
      </c>
      <c r="AE265">
        <v>100196880</v>
      </c>
      <c r="AG265">
        <v>99.93</v>
      </c>
      <c r="AH265">
        <v>83.22</v>
      </c>
      <c r="AI265">
        <v>1</v>
      </c>
      <c r="AJ265">
        <v>1.2007680000000001</v>
      </c>
      <c r="AK265">
        <v>0.40139999999999998</v>
      </c>
      <c r="AL265">
        <v>10.02</v>
      </c>
      <c r="AM265">
        <v>10020</v>
      </c>
      <c r="AN265">
        <v>1.0705</v>
      </c>
      <c r="AO265">
        <v>30</v>
      </c>
      <c r="AP265">
        <v>21.87</v>
      </c>
      <c r="AQ265">
        <v>0.72</v>
      </c>
      <c r="AR265">
        <v>-6.07</v>
      </c>
      <c r="AS265">
        <v>1.95</v>
      </c>
      <c r="AT265">
        <v>20.81</v>
      </c>
      <c r="AU265">
        <v>6666.69</v>
      </c>
      <c r="AV265">
        <v>35.81</v>
      </c>
      <c r="AW265">
        <v>9.6</v>
      </c>
      <c r="AX265">
        <v>4.87</v>
      </c>
      <c r="AY265">
        <v>34.285291999999998</v>
      </c>
      <c r="AZ265">
        <v>104.966464</v>
      </c>
      <c r="BA265">
        <v>-9.475168</v>
      </c>
      <c r="BB265">
        <v>0.213837</v>
      </c>
      <c r="BC265">
        <v>9.475168</v>
      </c>
      <c r="BD265">
        <v>58.221313000000002</v>
      </c>
      <c r="BE265">
        <v>190.72234800000001</v>
      </c>
      <c r="BF265">
        <v>-4.7666069999999996</v>
      </c>
      <c r="BG265">
        <v>5.4036239999999998</v>
      </c>
      <c r="BH265">
        <v>4.7666069999999996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Austin Seward</cp:lastModifiedBy>
  <dcterms:created xsi:type="dcterms:W3CDTF">2026-05-04T02:32:18Z</dcterms:created>
  <dcterms:modified xsi:type="dcterms:W3CDTF">2026-05-04T02:34:23Z</dcterms:modified>
</cp:coreProperties>
</file>